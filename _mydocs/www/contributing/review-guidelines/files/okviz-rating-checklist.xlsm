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eleperilli/Downloads/"/>
    </mc:Choice>
  </mc:AlternateContent>
  <xr:revisionPtr revIDLastSave="0" documentId="13_ncr:1_{B27FFDC0-6B7C-B74B-99A8-C51A207A62E7}" xr6:coauthVersionLast="47" xr6:coauthVersionMax="47" xr10:uidLastSave="{00000000-0000-0000-0000-000000000000}"/>
  <bookViews>
    <workbookView xWindow="2560" yWindow="1140" windowWidth="40580" windowHeight="24620" activeTab="1" xr2:uid="{E6B9331D-4142-9349-A7EB-345A685415A3}"/>
  </bookViews>
  <sheets>
    <sheet name="Start" sheetId="3" r:id="rId1"/>
    <sheet name="Checklist" sheetId="1" r:id="rId2"/>
    <sheet name="Types" sheetId="2" state="hidden" r:id="rId3"/>
  </sheets>
  <definedNames>
    <definedName name="_xleta.N" hidden="1" xlm="1">#NAME?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1" l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O58" i="1" s="1"/>
  <c r="P59" i="1"/>
  <c r="O59" i="1" s="1"/>
  <c r="P60" i="1"/>
  <c r="O60" i="1" s="1"/>
  <c r="P61" i="1"/>
  <c r="P62" i="1"/>
  <c r="P63" i="1"/>
  <c r="P64" i="1"/>
  <c r="P65" i="1"/>
  <c r="P66" i="1"/>
  <c r="P67" i="1"/>
  <c r="P68" i="1"/>
  <c r="P69" i="1"/>
  <c r="O69" i="1" s="1"/>
  <c r="P70" i="1"/>
  <c r="O70" i="1" s="1"/>
  <c r="P71" i="1"/>
  <c r="O71" i="1" s="1"/>
  <c r="P72" i="1"/>
  <c r="P73" i="1"/>
  <c r="P74" i="1"/>
  <c r="P75" i="1"/>
  <c r="P76" i="1"/>
  <c r="P77" i="1"/>
  <c r="O77" i="1" s="1"/>
  <c r="P78" i="1"/>
  <c r="O78" i="1" s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O91" i="1" s="1"/>
  <c r="P92" i="1"/>
  <c r="O92" i="1" s="1"/>
  <c r="P93" i="1"/>
  <c r="O93" i="1" s="1"/>
  <c r="P94" i="1"/>
  <c r="O94" i="1" s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O108" i="1" s="1"/>
  <c r="P109" i="1"/>
  <c r="O109" i="1" s="1"/>
  <c r="P110" i="1"/>
  <c r="P111" i="1"/>
  <c r="P112" i="1"/>
  <c r="P113" i="1"/>
  <c r="O113" i="1" s="1"/>
  <c r="P114" i="1"/>
  <c r="O114" i="1" s="1"/>
  <c r="P115" i="1"/>
  <c r="P116" i="1"/>
  <c r="O116" i="1" s="1"/>
  <c r="P117" i="1"/>
  <c r="P118" i="1"/>
  <c r="P119" i="1"/>
  <c r="P120" i="1"/>
  <c r="P121" i="1"/>
  <c r="P122" i="1"/>
  <c r="P123" i="1"/>
  <c r="P124" i="1"/>
  <c r="P125" i="1"/>
  <c r="O125" i="1" s="1"/>
  <c r="P126" i="1"/>
  <c r="O126" i="1" s="1"/>
  <c r="P127" i="1"/>
  <c r="P128" i="1"/>
  <c r="P129" i="1"/>
  <c r="P130" i="1"/>
  <c r="P131" i="1"/>
  <c r="O131" i="1" s="1"/>
  <c r="P132" i="1"/>
  <c r="O132" i="1" s="1"/>
  <c r="P133" i="1"/>
  <c r="P134" i="1"/>
  <c r="P135" i="1"/>
  <c r="P136" i="1"/>
  <c r="P137" i="1"/>
  <c r="P138" i="1"/>
  <c r="P139" i="1"/>
  <c r="P140" i="1"/>
  <c r="P141" i="1"/>
  <c r="P142" i="1"/>
  <c r="P143" i="1"/>
  <c r="O143" i="1" s="1"/>
  <c r="P144" i="1"/>
  <c r="P145" i="1"/>
  <c r="P146" i="1"/>
  <c r="P147" i="1"/>
  <c r="P148" i="1"/>
  <c r="P149" i="1"/>
  <c r="O149" i="1" s="1"/>
  <c r="P150" i="1"/>
  <c r="O150" i="1" s="1"/>
  <c r="P151" i="1"/>
  <c r="O151" i="1" s="1"/>
  <c r="P152" i="1"/>
  <c r="O152" i="1" s="1"/>
  <c r="P153" i="1"/>
  <c r="P154" i="1"/>
  <c r="O154" i="1" s="1"/>
  <c r="P155" i="1"/>
  <c r="O155" i="1" s="1"/>
  <c r="P156" i="1"/>
  <c r="P157" i="1"/>
  <c r="P158" i="1"/>
  <c r="P159" i="1"/>
  <c r="P160" i="1"/>
  <c r="P161" i="1"/>
  <c r="P162" i="1"/>
  <c r="P163" i="1"/>
  <c r="O163" i="1" s="1"/>
  <c r="P164" i="1"/>
  <c r="O164" i="1" s="1"/>
  <c r="P165" i="1"/>
  <c r="P166" i="1"/>
  <c r="O166" i="1" s="1"/>
  <c r="P167" i="1"/>
  <c r="O167" i="1" s="1"/>
  <c r="P168" i="1"/>
  <c r="O168" i="1" s="1"/>
  <c r="P169" i="1"/>
  <c r="O169" i="1" s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O185" i="1" s="1"/>
  <c r="P186" i="1"/>
  <c r="O186" i="1" s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O209" i="1" s="1"/>
  <c r="P210" i="1"/>
  <c r="O210" i="1" s="1"/>
  <c r="P211" i="1"/>
  <c r="O211" i="1" s="1"/>
  <c r="P212" i="1"/>
  <c r="O212" i="1" s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O228" i="1" s="1"/>
  <c r="P229" i="1"/>
  <c r="O229" i="1" s="1"/>
  <c r="P230" i="1"/>
  <c r="P231" i="1"/>
  <c r="P232" i="1"/>
  <c r="P233" i="1"/>
  <c r="P234" i="1"/>
  <c r="P235" i="1"/>
  <c r="P236" i="1"/>
  <c r="P237" i="1"/>
  <c r="P238" i="1"/>
  <c r="P239" i="1"/>
  <c r="O239" i="1" s="1"/>
  <c r="P240" i="1"/>
  <c r="O240" i="1" s="1"/>
  <c r="P241" i="1"/>
  <c r="P242" i="1"/>
  <c r="P243" i="1"/>
  <c r="P244" i="1"/>
  <c r="P245" i="1"/>
  <c r="P246" i="1"/>
  <c r="O246" i="1" s="1"/>
  <c r="P247" i="1"/>
  <c r="O247" i="1" s="1"/>
  <c r="P248" i="1"/>
  <c r="P249" i="1"/>
  <c r="P250" i="1"/>
  <c r="P251" i="1"/>
  <c r="P252" i="1"/>
  <c r="P253" i="1"/>
  <c r="P254" i="1"/>
  <c r="P255" i="1"/>
  <c r="P256" i="1"/>
  <c r="P257" i="1"/>
  <c r="O257" i="1" s="1"/>
  <c r="P258" i="1"/>
  <c r="P259" i="1"/>
  <c r="P260" i="1"/>
  <c r="P261" i="1"/>
  <c r="P262" i="1"/>
  <c r="P263" i="1"/>
  <c r="P264" i="1"/>
  <c r="P265" i="1"/>
  <c r="O265" i="1" s="1"/>
  <c r="P266" i="1"/>
  <c r="P267" i="1"/>
  <c r="P268" i="1"/>
  <c r="P269" i="1"/>
  <c r="P270" i="1"/>
  <c r="P271" i="1"/>
  <c r="P272" i="1"/>
  <c r="P273" i="1"/>
  <c r="P274" i="1"/>
  <c r="P275" i="1"/>
  <c r="O275" i="1" s="1"/>
  <c r="P276" i="1"/>
  <c r="P277" i="1"/>
  <c r="P278" i="1"/>
  <c r="P279" i="1"/>
  <c r="P280" i="1"/>
  <c r="P281" i="1"/>
  <c r="O281" i="1" s="1"/>
  <c r="P282" i="1"/>
  <c r="O282" i="1" s="1"/>
  <c r="P283" i="1"/>
  <c r="O283" i="1" s="1"/>
  <c r="P284" i="1"/>
  <c r="P285" i="1"/>
  <c r="P286" i="1"/>
  <c r="P287" i="1"/>
  <c r="P288" i="1"/>
  <c r="O288" i="1" s="1"/>
  <c r="P289" i="1"/>
  <c r="O289" i="1" s="1"/>
  <c r="P290" i="1"/>
  <c r="P291" i="1"/>
  <c r="P292" i="1"/>
  <c r="P293" i="1"/>
  <c r="P294" i="1"/>
  <c r="O294" i="1" s="1"/>
  <c r="P295" i="1"/>
  <c r="O295" i="1" s="1"/>
  <c r="P296" i="1"/>
  <c r="O296" i="1" s="1"/>
  <c r="P297" i="1"/>
  <c r="P298" i="1"/>
  <c r="O298" i="1" s="1"/>
  <c r="P299" i="1"/>
  <c r="O299" i="1" s="1"/>
  <c r="P300" i="1"/>
  <c r="O300" i="1" s="1"/>
  <c r="P301" i="1"/>
  <c r="P302" i="1"/>
  <c r="P303" i="1"/>
  <c r="P304" i="1"/>
  <c r="P305" i="1"/>
  <c r="O305" i="1" s="1"/>
  <c r="P306" i="1"/>
  <c r="P307" i="1"/>
  <c r="P308" i="1"/>
  <c r="P309" i="1"/>
  <c r="P310" i="1"/>
  <c r="P311" i="1"/>
  <c r="P312" i="1"/>
  <c r="P313" i="1"/>
  <c r="P314" i="1"/>
  <c r="P315" i="1"/>
  <c r="P316" i="1"/>
  <c r="P317" i="1"/>
  <c r="O317" i="1" s="1"/>
  <c r="P318" i="1"/>
  <c r="O318" i="1" s="1"/>
  <c r="P319" i="1"/>
  <c r="O319" i="1" s="1"/>
  <c r="P320" i="1"/>
  <c r="O320" i="1" s="1"/>
  <c r="P321" i="1"/>
  <c r="P322" i="1"/>
  <c r="P323" i="1"/>
  <c r="P324" i="1"/>
  <c r="P325" i="1"/>
  <c r="P326" i="1"/>
  <c r="P327" i="1"/>
  <c r="P328" i="1"/>
  <c r="P329" i="1"/>
  <c r="P330" i="1"/>
  <c r="P331" i="1"/>
  <c r="O331" i="1" s="1"/>
  <c r="P332" i="1"/>
  <c r="O332" i="1" s="1"/>
  <c r="P333" i="1"/>
  <c r="O333" i="1" s="1"/>
  <c r="P334" i="1"/>
  <c r="O334" i="1" s="1"/>
  <c r="P335" i="1"/>
  <c r="P336" i="1"/>
  <c r="P337" i="1"/>
  <c r="O337" i="1" s="1"/>
  <c r="P338" i="1"/>
  <c r="P339" i="1"/>
  <c r="P340" i="1"/>
  <c r="P341" i="1"/>
  <c r="P342" i="1"/>
  <c r="P343" i="1"/>
  <c r="O343" i="1" s="1"/>
  <c r="P344" i="1"/>
  <c r="O344" i="1" s="1"/>
  <c r="P345" i="1"/>
  <c r="O345" i="1" s="1"/>
  <c r="P346" i="1"/>
  <c r="P347" i="1"/>
  <c r="P348" i="1"/>
  <c r="P349" i="1"/>
  <c r="O349" i="1" s="1"/>
  <c r="P350" i="1"/>
  <c r="P351" i="1"/>
  <c r="P352" i="1"/>
  <c r="P353" i="1"/>
  <c r="P354" i="1"/>
  <c r="P355" i="1"/>
  <c r="P356" i="1"/>
  <c r="P357" i="1"/>
  <c r="P358" i="1"/>
  <c r="O358" i="1" s="1"/>
  <c r="P359" i="1"/>
  <c r="O359" i="1" s="1"/>
  <c r="P360" i="1"/>
  <c r="O360" i="1" s="1"/>
  <c r="P361" i="1"/>
  <c r="O361" i="1" s="1"/>
  <c r="P362" i="1"/>
  <c r="P363" i="1"/>
  <c r="P364" i="1"/>
  <c r="P365" i="1"/>
  <c r="P366" i="1"/>
  <c r="P367" i="1"/>
  <c r="P368" i="1"/>
  <c r="P369" i="1"/>
  <c r="P370" i="1"/>
  <c r="P371" i="1"/>
  <c r="P372" i="1"/>
  <c r="O372" i="1" s="1"/>
  <c r="P373" i="1"/>
  <c r="P374" i="1"/>
  <c r="P375" i="1"/>
  <c r="P376" i="1"/>
  <c r="P377" i="1"/>
  <c r="O377" i="1" s="1"/>
  <c r="P378" i="1"/>
  <c r="O378" i="1" s="1"/>
  <c r="P379" i="1"/>
  <c r="P380" i="1"/>
  <c r="P381" i="1"/>
  <c r="P382" i="1"/>
  <c r="O382" i="1" s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O407" i="1" s="1"/>
  <c r="P408" i="1"/>
  <c r="P409" i="1"/>
  <c r="P410" i="1"/>
  <c r="P411" i="1"/>
  <c r="P412" i="1"/>
  <c r="P413" i="1"/>
  <c r="O413" i="1" s="1"/>
  <c r="P414" i="1"/>
  <c r="P415" i="1"/>
  <c r="P416" i="1"/>
  <c r="P417" i="1"/>
  <c r="P418" i="1"/>
  <c r="P419" i="1"/>
  <c r="O419" i="1" s="1"/>
  <c r="P420" i="1"/>
  <c r="P421" i="1"/>
  <c r="P422" i="1"/>
  <c r="P423" i="1"/>
  <c r="P424" i="1"/>
  <c r="P425" i="1"/>
  <c r="P426" i="1"/>
  <c r="P427" i="1"/>
  <c r="P428" i="1"/>
  <c r="P429" i="1"/>
  <c r="O429" i="1" s="1"/>
  <c r="P430" i="1"/>
  <c r="O430" i="1" s="1"/>
  <c r="P431" i="1"/>
  <c r="P432" i="1"/>
  <c r="P433" i="1"/>
  <c r="P434" i="1"/>
  <c r="P435" i="1"/>
  <c r="P436" i="1"/>
  <c r="P437" i="1"/>
  <c r="P438" i="1"/>
  <c r="O438" i="1" s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O457" i="1" s="1"/>
  <c r="P458" i="1"/>
  <c r="P459" i="1"/>
  <c r="P460" i="1"/>
  <c r="P461" i="1"/>
  <c r="P462" i="1"/>
  <c r="P463" i="1"/>
  <c r="P464" i="1"/>
  <c r="P465" i="1"/>
  <c r="O465" i="1" s="1"/>
  <c r="P466" i="1"/>
  <c r="P467" i="1"/>
  <c r="P468" i="1"/>
  <c r="P469" i="1"/>
  <c r="P470" i="1"/>
  <c r="P471" i="1"/>
  <c r="P472" i="1"/>
  <c r="P473" i="1"/>
  <c r="P474" i="1"/>
  <c r="O474" i="1" s="1"/>
  <c r="P475" i="1"/>
  <c r="P476" i="1"/>
  <c r="P477" i="1"/>
  <c r="P478" i="1"/>
  <c r="P479" i="1"/>
  <c r="P480" i="1"/>
  <c r="P481" i="1"/>
  <c r="O481" i="1" s="1"/>
  <c r="P482" i="1"/>
  <c r="P483" i="1"/>
  <c r="P484" i="1"/>
  <c r="P485" i="1"/>
  <c r="P486" i="1"/>
  <c r="P487" i="1"/>
  <c r="P488" i="1"/>
  <c r="P489" i="1"/>
  <c r="P490" i="1"/>
  <c r="P491" i="1"/>
  <c r="P492" i="1"/>
  <c r="O492" i="1" s="1"/>
  <c r="P493" i="1"/>
  <c r="P494" i="1"/>
  <c r="P495" i="1"/>
  <c r="P496" i="1"/>
  <c r="P497" i="1"/>
  <c r="P498" i="1"/>
  <c r="P499" i="1"/>
  <c r="O499" i="1" s="1"/>
  <c r="P500" i="1"/>
  <c r="P501" i="1"/>
  <c r="P502" i="1"/>
  <c r="P503" i="1"/>
  <c r="P504" i="1"/>
  <c r="P505" i="1"/>
  <c r="P506" i="1"/>
  <c r="P507" i="1"/>
  <c r="P508" i="1"/>
  <c r="P509" i="1"/>
  <c r="P510" i="1"/>
  <c r="O510" i="1" s="1"/>
  <c r="P511" i="1"/>
  <c r="O511" i="1" s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O535" i="1" s="1"/>
  <c r="P536" i="1"/>
  <c r="P537" i="1"/>
  <c r="P538" i="1"/>
  <c r="P539" i="1"/>
  <c r="P540" i="1"/>
  <c r="P541" i="1"/>
  <c r="P542" i="1"/>
  <c r="P543" i="1"/>
  <c r="P544" i="1"/>
  <c r="P545" i="1"/>
  <c r="P546" i="1"/>
  <c r="P547" i="1"/>
  <c r="O547" i="1" s="1"/>
  <c r="P548" i="1"/>
  <c r="P549" i="1"/>
  <c r="P550" i="1"/>
  <c r="O550" i="1" s="1"/>
  <c r="P551" i="1"/>
  <c r="O551" i="1" s="1"/>
  <c r="P552" i="1"/>
  <c r="O552" i="1" s="1"/>
  <c r="P553" i="1"/>
  <c r="O553" i="1" s="1"/>
  <c r="P554" i="1"/>
  <c r="P555" i="1"/>
  <c r="P556" i="1"/>
  <c r="P557" i="1"/>
  <c r="P558" i="1"/>
  <c r="O558" i="1" s="1"/>
  <c r="P559" i="1"/>
  <c r="O559" i="1" s="1"/>
  <c r="P560" i="1"/>
  <c r="P561" i="1"/>
  <c r="P562" i="1"/>
  <c r="P563" i="1"/>
  <c r="P564" i="1"/>
  <c r="P565" i="1"/>
  <c r="P566" i="1"/>
  <c r="P567" i="1"/>
  <c r="P568" i="1"/>
  <c r="P569" i="1"/>
  <c r="O569" i="1" s="1"/>
  <c r="P570" i="1"/>
  <c r="O570" i="1" s="1"/>
  <c r="P571" i="1"/>
  <c r="O571" i="1" s="1"/>
  <c r="P572" i="1"/>
  <c r="O572" i="1" s="1"/>
  <c r="P573" i="1"/>
  <c r="P574" i="1"/>
  <c r="P575" i="1"/>
  <c r="P576" i="1"/>
  <c r="P577" i="1"/>
  <c r="P578" i="1"/>
  <c r="P579" i="1"/>
  <c r="P580" i="1"/>
  <c r="P581" i="1"/>
  <c r="O581" i="1" s="1"/>
  <c r="P582" i="1"/>
  <c r="O582" i="1" s="1"/>
  <c r="P583" i="1"/>
  <c r="P584" i="1"/>
  <c r="O584" i="1" s="1"/>
  <c r="P585" i="1"/>
  <c r="P586" i="1"/>
  <c r="P587" i="1"/>
  <c r="P588" i="1"/>
  <c r="P589" i="1"/>
  <c r="P590" i="1"/>
  <c r="P591" i="1"/>
  <c r="P592" i="1"/>
  <c r="P593" i="1"/>
  <c r="O593" i="1" s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O608" i="1" s="1"/>
  <c r="P609" i="1"/>
  <c r="P610" i="1"/>
  <c r="O610" i="1" s="1"/>
  <c r="P611" i="1"/>
  <c r="P612" i="1"/>
  <c r="P613" i="1"/>
  <c r="P614" i="1"/>
  <c r="P615" i="1"/>
  <c r="P616" i="1"/>
  <c r="P617" i="1"/>
  <c r="P618" i="1"/>
  <c r="P619" i="1"/>
  <c r="P620" i="1"/>
  <c r="O620" i="1" s="1"/>
  <c r="P621" i="1"/>
  <c r="P622" i="1"/>
  <c r="O622" i="1" s="1"/>
  <c r="P623" i="1"/>
  <c r="O623" i="1" s="1"/>
  <c r="P624" i="1"/>
  <c r="O624" i="1" s="1"/>
  <c r="P625" i="1"/>
  <c r="O625" i="1" s="1"/>
  <c r="P626" i="1"/>
  <c r="P627" i="1"/>
  <c r="P628" i="1"/>
  <c r="P629" i="1"/>
  <c r="P630" i="1"/>
  <c r="P631" i="1"/>
  <c r="P632" i="1"/>
  <c r="P633" i="1"/>
  <c r="P634" i="1"/>
  <c r="O634" i="1" s="1"/>
  <c r="P635" i="1"/>
  <c r="P636" i="1"/>
  <c r="P637" i="1"/>
  <c r="P638" i="1"/>
  <c r="P639" i="1"/>
  <c r="P640" i="1"/>
  <c r="P641" i="1"/>
  <c r="O641" i="1" s="1"/>
  <c r="P642" i="1"/>
  <c r="P643" i="1"/>
  <c r="P644" i="1"/>
  <c r="P645" i="1"/>
  <c r="P646" i="1"/>
  <c r="P647" i="1"/>
  <c r="P648" i="1"/>
  <c r="P649" i="1"/>
  <c r="P650" i="1"/>
  <c r="P651" i="1"/>
  <c r="P652" i="1"/>
  <c r="P653" i="1"/>
  <c r="O653" i="1" s="1"/>
  <c r="P654" i="1"/>
  <c r="O654" i="1" s="1"/>
  <c r="P655" i="1"/>
  <c r="O655" i="1" s="1"/>
  <c r="P656" i="1"/>
  <c r="O656" i="1" s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O678" i="1" s="1"/>
  <c r="P679" i="1"/>
  <c r="O679" i="1" s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O692" i="1" s="1"/>
  <c r="P693" i="1"/>
  <c r="O693" i="1" s="1"/>
  <c r="P694" i="1"/>
  <c r="O694" i="1" s="1"/>
  <c r="P695" i="1"/>
  <c r="O695" i="1" s="1"/>
  <c r="P696" i="1"/>
  <c r="O696" i="1" s="1"/>
  <c r="P697" i="1"/>
  <c r="O697" i="1" s="1"/>
  <c r="P698" i="1"/>
  <c r="P699" i="1"/>
  <c r="P700" i="1"/>
  <c r="P701" i="1"/>
  <c r="O701" i="1" s="1"/>
  <c r="P702" i="1"/>
  <c r="O702" i="1" s="1"/>
  <c r="P703" i="1"/>
  <c r="O703" i="1" s="1"/>
  <c r="P704" i="1"/>
  <c r="O704" i="1" s="1"/>
  <c r="P705" i="1"/>
  <c r="O705" i="1" s="1"/>
  <c r="P706" i="1"/>
  <c r="O706" i="1" s="1"/>
  <c r="P707" i="1"/>
  <c r="O707" i="1" s="1"/>
  <c r="P708" i="1"/>
  <c r="O708" i="1" s="1"/>
  <c r="P709" i="1"/>
  <c r="O709" i="1" s="1"/>
  <c r="P710" i="1"/>
  <c r="P711" i="1"/>
  <c r="P712" i="1"/>
  <c r="P713" i="1"/>
  <c r="O713" i="1" s="1"/>
  <c r="P714" i="1"/>
  <c r="O714" i="1" s="1"/>
  <c r="P715" i="1"/>
  <c r="O715" i="1" s="1"/>
  <c r="P716" i="1"/>
  <c r="O716" i="1" s="1"/>
  <c r="P717" i="1"/>
  <c r="P718" i="1"/>
  <c r="O718" i="1" s="1"/>
  <c r="P719" i="1"/>
  <c r="O719" i="1" s="1"/>
  <c r="P720" i="1"/>
  <c r="O720" i="1" s="1"/>
  <c r="P721" i="1"/>
  <c r="O721" i="1" s="1"/>
  <c r="P722" i="1"/>
  <c r="P723" i="1"/>
  <c r="P724" i="1"/>
  <c r="P725" i="1"/>
  <c r="O725" i="1" s="1"/>
  <c r="O41" i="1"/>
  <c r="O42" i="1"/>
  <c r="O43" i="1"/>
  <c r="O44" i="1"/>
  <c r="O45" i="1"/>
  <c r="O46" i="1"/>
  <c r="O56" i="1"/>
  <c r="O57" i="1"/>
  <c r="O110" i="1"/>
  <c r="O111" i="1"/>
  <c r="O112" i="1"/>
  <c r="O115" i="1"/>
  <c r="O133" i="1"/>
  <c r="O134" i="1"/>
  <c r="O135" i="1"/>
  <c r="O147" i="1"/>
  <c r="O148" i="1"/>
  <c r="O153" i="1"/>
  <c r="O165" i="1"/>
  <c r="O170" i="1"/>
  <c r="O230" i="1"/>
  <c r="O231" i="1"/>
  <c r="O232" i="1"/>
  <c r="O255" i="1"/>
  <c r="O256" i="1"/>
  <c r="O280" i="1"/>
  <c r="O297" i="1"/>
  <c r="O316" i="1"/>
  <c r="O321" i="1"/>
  <c r="O326" i="1"/>
  <c r="O327" i="1"/>
  <c r="O328" i="1"/>
  <c r="O338" i="1"/>
  <c r="O362" i="1"/>
  <c r="O363" i="1"/>
  <c r="O375" i="1"/>
  <c r="O376" i="1"/>
  <c r="O381" i="1"/>
  <c r="O387" i="1"/>
  <c r="O388" i="1"/>
  <c r="O398" i="1"/>
  <c r="O399" i="1"/>
  <c r="O411" i="1"/>
  <c r="O412" i="1"/>
  <c r="O458" i="1"/>
  <c r="O482" i="1"/>
  <c r="O554" i="1"/>
  <c r="O573" i="1"/>
  <c r="O585" i="1"/>
  <c r="O592" i="1"/>
  <c r="O609" i="1"/>
  <c r="O621" i="1"/>
  <c r="O640" i="1"/>
  <c r="O651" i="1"/>
  <c r="O652" i="1"/>
  <c r="O698" i="1"/>
  <c r="O699" i="1"/>
  <c r="O700" i="1"/>
  <c r="O710" i="1"/>
  <c r="O711" i="1"/>
  <c r="O712" i="1"/>
  <c r="O717" i="1"/>
  <c r="O722" i="1"/>
  <c r="O723" i="1"/>
  <c r="O724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536" i="1" l="1"/>
  <c r="O23" i="1"/>
  <c r="O541" i="1"/>
  <c r="O182" i="1"/>
  <c r="O28" i="1"/>
  <c r="O436" i="1"/>
  <c r="O336" i="1"/>
  <c r="O374" i="1"/>
  <c r="O172" i="1"/>
  <c r="O62" i="1"/>
  <c r="O365" i="1"/>
  <c r="O188" i="1"/>
  <c r="O309" i="1"/>
  <c r="O118" i="1"/>
  <c r="O348" i="1"/>
  <c r="O194" i="1"/>
  <c r="O315" i="1"/>
  <c r="O124" i="1"/>
  <c r="O68" i="1"/>
  <c r="O176" i="1"/>
  <c r="O371" i="1"/>
  <c r="O264" i="1"/>
  <c r="O397" i="1"/>
  <c r="O650" i="1"/>
  <c r="O40" i="1"/>
  <c r="O208" i="1"/>
  <c r="O472" i="1"/>
  <c r="O568" i="1"/>
  <c r="O688" i="1"/>
  <c r="O665" i="1"/>
  <c r="O90" i="1"/>
  <c r="O102" i="1"/>
  <c r="O162" i="1"/>
  <c r="O534" i="1"/>
  <c r="O55" i="1"/>
  <c r="O619" i="1"/>
  <c r="O464" i="1"/>
  <c r="O357" i="1"/>
  <c r="O633" i="1"/>
  <c r="O274" i="1"/>
  <c r="O406" i="1"/>
  <c r="O227" i="1"/>
  <c r="O491" i="1"/>
  <c r="O72" i="1"/>
  <c r="O156" i="1"/>
  <c r="O408" i="1"/>
  <c r="O266" i="1"/>
  <c r="O350" i="1"/>
  <c r="O626" i="1"/>
  <c r="O459" i="1"/>
  <c r="O483" i="1"/>
  <c r="O136" i="1"/>
  <c r="O220" i="1"/>
  <c r="O400" i="1"/>
  <c r="O389" i="1"/>
  <c r="O258" i="1"/>
  <c r="O642" i="1"/>
  <c r="O127" i="1"/>
  <c r="O32" i="1"/>
  <c r="O200" i="1"/>
  <c r="O248" i="1"/>
  <c r="O500" i="1"/>
  <c r="O560" i="1"/>
  <c r="O680" i="1"/>
  <c r="O657" i="1"/>
  <c r="O82" i="1"/>
  <c r="O466" i="1"/>
  <c r="O47" i="1"/>
  <c r="O95" i="1"/>
  <c r="O383" i="1"/>
  <c r="O527" i="1"/>
  <c r="O587" i="1"/>
  <c r="O611" i="1"/>
  <c r="O636" i="1"/>
  <c r="O242" i="1"/>
  <c r="O506" i="1"/>
  <c r="O196" i="1"/>
  <c r="O604" i="1"/>
  <c r="O104" i="1"/>
  <c r="O513" i="1"/>
  <c r="O304" i="1"/>
  <c r="O80" i="1"/>
  <c r="O323" i="1"/>
  <c r="O545" i="1"/>
  <c r="O441" i="1"/>
  <c r="O455" i="1"/>
  <c r="O576" i="1"/>
  <c r="O339" i="1"/>
  <c r="O414" i="1"/>
  <c r="O279" i="1"/>
  <c r="O293" i="1"/>
  <c r="O287" i="1"/>
  <c r="O601" i="1"/>
  <c r="O219" i="1"/>
  <c r="O450" i="1"/>
  <c r="O427" i="1"/>
  <c r="O420" i="1"/>
  <c r="O594" i="1"/>
  <c r="O213" i="1"/>
  <c r="O443" i="1"/>
  <c r="O144" i="1"/>
  <c r="O329" i="1"/>
  <c r="O312" i="1"/>
  <c r="O396" i="1"/>
  <c r="O649" i="1"/>
  <c r="O386" i="1"/>
  <c r="O410" i="1"/>
  <c r="O39" i="1"/>
  <c r="O207" i="1"/>
  <c r="O471" i="1"/>
  <c r="O567" i="1"/>
  <c r="O687" i="1"/>
  <c r="O664" i="1"/>
  <c r="O89" i="1"/>
  <c r="O533" i="1"/>
  <c r="O54" i="1"/>
  <c r="O618" i="1"/>
  <c r="O273" i="1"/>
  <c r="O130" i="1"/>
  <c r="O142" i="1"/>
  <c r="O490" i="1"/>
  <c r="O380" i="1"/>
  <c r="O549" i="1"/>
  <c r="O600" i="1"/>
  <c r="O218" i="1"/>
  <c r="O449" i="1"/>
  <c r="O426" i="1"/>
  <c r="O648" i="1"/>
  <c r="O38" i="1"/>
  <c r="O206" i="1"/>
  <c r="O254" i="1"/>
  <c r="O470" i="1"/>
  <c r="O566" i="1"/>
  <c r="O686" i="1"/>
  <c r="O663" i="1"/>
  <c r="O88" i="1"/>
  <c r="O532" i="1"/>
  <c r="O53" i="1"/>
  <c r="O101" i="1"/>
  <c r="O161" i="1"/>
  <c r="O617" i="1"/>
  <c r="O463" i="1"/>
  <c r="O272" i="1"/>
  <c r="O356" i="1"/>
  <c r="O632" i="1"/>
  <c r="O405" i="1"/>
  <c r="O489" i="1"/>
  <c r="O226" i="1"/>
  <c r="O263" i="1"/>
  <c r="O395" i="1"/>
  <c r="O25" i="1"/>
  <c r="O433" i="1"/>
  <c r="O452" i="1"/>
  <c r="O538" i="1"/>
  <c r="O179" i="1"/>
  <c r="O677" i="1"/>
  <c r="O668" i="1"/>
  <c r="O544" i="1"/>
  <c r="O440" i="1"/>
  <c r="O602" i="1"/>
  <c r="O451" i="1"/>
  <c r="O428" i="1"/>
  <c r="O445" i="1"/>
  <c r="O422" i="1"/>
  <c r="O596" i="1"/>
  <c r="O278" i="1"/>
  <c r="O292" i="1"/>
  <c r="O286" i="1"/>
  <c r="O672" i="1"/>
  <c r="O496" i="1"/>
  <c r="O236" i="1"/>
  <c r="O478" i="1"/>
  <c r="O241" i="1"/>
  <c r="O505" i="1"/>
  <c r="O195" i="1"/>
  <c r="O603" i="1"/>
  <c r="O103" i="1"/>
  <c r="O512" i="1"/>
  <c r="O635" i="1"/>
  <c r="O120" i="1"/>
  <c r="O64" i="1"/>
  <c r="O173" i="1"/>
  <c r="O367" i="1"/>
  <c r="O190" i="1"/>
  <c r="O346" i="1"/>
  <c r="O311" i="1"/>
  <c r="O456" i="1"/>
  <c r="O184" i="1"/>
  <c r="O546" i="1"/>
  <c r="O31" i="1"/>
  <c r="O442" i="1"/>
  <c r="O577" i="1"/>
  <c r="O415" i="1"/>
  <c r="O379" i="1"/>
  <c r="O548" i="1"/>
  <c r="O325" i="1"/>
  <c r="O307" i="1"/>
  <c r="O217" i="1"/>
  <c r="O448" i="1"/>
  <c r="O425" i="1"/>
  <c r="O599" i="1"/>
  <c r="O37" i="1"/>
  <c r="O205" i="1"/>
  <c r="O253" i="1"/>
  <c r="O565" i="1"/>
  <c r="O685" i="1"/>
  <c r="O662" i="1"/>
  <c r="O87" i="1"/>
  <c r="O531" i="1"/>
  <c r="O52" i="1"/>
  <c r="O100" i="1"/>
  <c r="O160" i="1"/>
  <c r="O616" i="1"/>
  <c r="O271" i="1"/>
  <c r="O355" i="1"/>
  <c r="O631" i="1"/>
  <c r="O488" i="1"/>
  <c r="O141" i="1"/>
  <c r="O225" i="1"/>
  <c r="O394" i="1"/>
  <c r="O647" i="1"/>
  <c r="O24" i="1"/>
  <c r="O432" i="1"/>
  <c r="O537" i="1"/>
  <c r="O178" i="1"/>
  <c r="O676" i="1"/>
  <c r="O690" i="1"/>
  <c r="O277" i="1"/>
  <c r="O302" i="1"/>
  <c r="O291" i="1"/>
  <c r="O285" i="1"/>
  <c r="O495" i="1"/>
  <c r="O519" i="1"/>
  <c r="O557" i="1"/>
  <c r="O235" i="1"/>
  <c r="O524" i="1"/>
  <c r="O477" i="1"/>
  <c r="O671" i="1"/>
  <c r="O63" i="1"/>
  <c r="O366" i="1"/>
  <c r="O189" i="1"/>
  <c r="O310" i="1"/>
  <c r="O119" i="1"/>
  <c r="O543" i="1"/>
  <c r="O30" i="1"/>
  <c r="O439" i="1"/>
  <c r="O675" i="1"/>
  <c r="O689" i="1"/>
  <c r="O666" i="1"/>
  <c r="O580" i="1"/>
  <c r="O342" i="1"/>
  <c r="O418" i="1"/>
  <c r="O216" i="1"/>
  <c r="O447" i="1"/>
  <c r="O424" i="1"/>
  <c r="O598" i="1"/>
  <c r="O575" i="1"/>
  <c r="O36" i="1"/>
  <c r="O204" i="1"/>
  <c r="O252" i="1"/>
  <c r="O504" i="1"/>
  <c r="O564" i="1"/>
  <c r="O684" i="1"/>
  <c r="O469" i="1"/>
  <c r="O661" i="1"/>
  <c r="O86" i="1"/>
  <c r="O51" i="1"/>
  <c r="O99" i="1"/>
  <c r="O159" i="1"/>
  <c r="O591" i="1"/>
  <c r="O615" i="1"/>
  <c r="O76" i="1"/>
  <c r="O270" i="1"/>
  <c r="O354" i="1"/>
  <c r="O462" i="1"/>
  <c r="O630" i="1"/>
  <c r="O487" i="1"/>
  <c r="O140" i="1"/>
  <c r="O224" i="1"/>
  <c r="O404" i="1"/>
  <c r="O393" i="1"/>
  <c r="O262" i="1"/>
  <c r="O646" i="1"/>
  <c r="O276" i="1"/>
  <c r="O301" i="1"/>
  <c r="O290" i="1"/>
  <c r="O284" i="1"/>
  <c r="O494" i="1"/>
  <c r="O518" i="1"/>
  <c r="O556" i="1"/>
  <c r="O234" i="1"/>
  <c r="O523" i="1"/>
  <c r="O476" i="1"/>
  <c r="O670" i="1"/>
  <c r="O542" i="1"/>
  <c r="O579" i="1"/>
  <c r="O493" i="1"/>
  <c r="O324" i="1"/>
  <c r="O306" i="1"/>
  <c r="O81" i="1"/>
  <c r="O61" i="1"/>
  <c r="O364" i="1"/>
  <c r="O187" i="1"/>
  <c r="O308" i="1"/>
  <c r="O117" i="1"/>
  <c r="O446" i="1"/>
  <c r="O146" i="1"/>
  <c r="O583" i="1"/>
  <c r="O586" i="1"/>
  <c r="O516" i="1"/>
  <c r="O660" i="1"/>
  <c r="O193" i="1"/>
  <c r="O314" i="1"/>
  <c r="O123" i="1"/>
  <c r="O67" i="1"/>
  <c r="O175" i="1"/>
  <c r="O370" i="1"/>
  <c r="O578" i="1"/>
  <c r="O340" i="1"/>
  <c r="O416" i="1"/>
  <c r="O480" i="1"/>
  <c r="O674" i="1"/>
  <c r="O521" i="1"/>
  <c r="O498" i="1"/>
  <c r="O238" i="1"/>
  <c r="O526" i="1"/>
  <c r="O145" i="1"/>
  <c r="O330" i="1"/>
  <c r="O638" i="1"/>
  <c r="O244" i="1"/>
  <c r="O508" i="1"/>
  <c r="O198" i="1"/>
  <c r="O606" i="1"/>
  <c r="O106" i="1"/>
  <c r="O515" i="1"/>
  <c r="O84" i="1"/>
  <c r="O468" i="1"/>
  <c r="O49" i="1"/>
  <c r="O97" i="1"/>
  <c r="O385" i="1"/>
  <c r="O529" i="1"/>
  <c r="O589" i="1"/>
  <c r="O613" i="1"/>
  <c r="O74" i="1"/>
  <c r="O158" i="1"/>
  <c r="O268" i="1"/>
  <c r="O352" i="1"/>
  <c r="O628" i="1"/>
  <c r="O461" i="1"/>
  <c r="O485" i="1"/>
  <c r="O138" i="1"/>
  <c r="O222" i="1"/>
  <c r="O402" i="1"/>
  <c r="O391" i="1"/>
  <c r="O260" i="1"/>
  <c r="O644" i="1"/>
  <c r="O129" i="1"/>
  <c r="O34" i="1"/>
  <c r="O202" i="1"/>
  <c r="O250" i="1"/>
  <c r="O502" i="1"/>
  <c r="O562" i="1"/>
  <c r="O682" i="1"/>
  <c r="O659" i="1"/>
  <c r="O691" i="1"/>
  <c r="O444" i="1"/>
  <c r="O421" i="1"/>
  <c r="O595" i="1"/>
  <c r="O214" i="1"/>
  <c r="O373" i="1"/>
  <c r="O171" i="1"/>
  <c r="O335" i="1"/>
  <c r="O303" i="1"/>
  <c r="O79" i="1"/>
  <c r="O322" i="1"/>
  <c r="O192" i="1"/>
  <c r="O313" i="1"/>
  <c r="O122" i="1"/>
  <c r="O66" i="1"/>
  <c r="O369" i="1"/>
  <c r="O540" i="1"/>
  <c r="O181" i="1"/>
  <c r="O27" i="1"/>
  <c r="O435" i="1"/>
  <c r="O673" i="1"/>
  <c r="O520" i="1"/>
  <c r="O497" i="1"/>
  <c r="O237" i="1"/>
  <c r="O525" i="1"/>
  <c r="O479" i="1"/>
  <c r="O637" i="1"/>
  <c r="O243" i="1"/>
  <c r="O507" i="1"/>
  <c r="O197" i="1"/>
  <c r="O605" i="1"/>
  <c r="O105" i="1"/>
  <c r="O514" i="1"/>
  <c r="O48" i="1"/>
  <c r="O96" i="1"/>
  <c r="O384" i="1"/>
  <c r="O528" i="1"/>
  <c r="O588" i="1"/>
  <c r="O612" i="1"/>
  <c r="O73" i="1"/>
  <c r="O157" i="1"/>
  <c r="O409" i="1"/>
  <c r="O267" i="1"/>
  <c r="O351" i="1"/>
  <c r="O627" i="1"/>
  <c r="O460" i="1"/>
  <c r="O484" i="1"/>
  <c r="O137" i="1"/>
  <c r="O221" i="1"/>
  <c r="O401" i="1"/>
  <c r="O390" i="1"/>
  <c r="O259" i="1"/>
  <c r="O643" i="1"/>
  <c r="O128" i="1"/>
  <c r="O33" i="1"/>
  <c r="O201" i="1"/>
  <c r="O249" i="1"/>
  <c r="O501" i="1"/>
  <c r="O561" i="1"/>
  <c r="O681" i="1"/>
  <c r="O658" i="1"/>
  <c r="O83" i="1"/>
  <c r="O467" i="1"/>
  <c r="O180" i="1"/>
  <c r="O26" i="1"/>
  <c r="O434" i="1"/>
  <c r="O453" i="1"/>
  <c r="O539" i="1"/>
  <c r="O667" i="1"/>
  <c r="O683" i="1"/>
  <c r="O563" i="1"/>
  <c r="O503" i="1"/>
  <c r="O431" i="1"/>
  <c r="O347" i="1"/>
  <c r="O251" i="1"/>
  <c r="O215" i="1"/>
  <c r="O203" i="1"/>
  <c r="O191" i="1"/>
  <c r="O107" i="1"/>
  <c r="O35" i="1"/>
  <c r="O574" i="1"/>
  <c r="O454" i="1"/>
  <c r="O669" i="1"/>
  <c r="O645" i="1"/>
  <c r="O597" i="1"/>
  <c r="O417" i="1"/>
  <c r="O261" i="1"/>
  <c r="O177" i="1"/>
  <c r="O392" i="1"/>
  <c r="O368" i="1"/>
  <c r="O607" i="1"/>
  <c r="O475" i="1"/>
  <c r="O403" i="1"/>
  <c r="O223" i="1"/>
  <c r="O199" i="1"/>
  <c r="O139" i="1"/>
  <c r="O522" i="1"/>
  <c r="O486" i="1"/>
  <c r="O174" i="1"/>
  <c r="O629" i="1"/>
  <c r="O509" i="1"/>
  <c r="O473" i="1"/>
  <c r="O437" i="1"/>
  <c r="O353" i="1"/>
  <c r="O341" i="1"/>
  <c r="O269" i="1"/>
  <c r="O245" i="1"/>
  <c r="O233" i="1"/>
  <c r="O65" i="1"/>
  <c r="O29" i="1"/>
  <c r="O639" i="1"/>
  <c r="O555" i="1"/>
  <c r="O423" i="1"/>
  <c r="O183" i="1"/>
  <c r="O75" i="1"/>
  <c r="O614" i="1"/>
  <c r="O590" i="1"/>
  <c r="O530" i="1"/>
  <c r="O98" i="1"/>
  <c r="O50" i="1"/>
  <c r="O517" i="1"/>
  <c r="O121" i="1"/>
  <c r="O85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<sst xmlns="http://schemas.openxmlformats.org/spreadsheetml/2006/main" count="5213" uniqueCount="939">
  <si>
    <t>Id</t>
  </si>
  <si>
    <t>Name</t>
  </si>
  <si>
    <t>Description</t>
  </si>
  <si>
    <t>Option1</t>
  </si>
  <si>
    <t>Option2</t>
  </si>
  <si>
    <t>Option3</t>
  </si>
  <si>
    <t>Option4</t>
  </si>
  <si>
    <t>Option5</t>
  </si>
  <si>
    <t>Features</t>
  </si>
  <si>
    <t>*</t>
  </si>
  <si>
    <t>F00</t>
  </si>
  <si>
    <t>Latest API</t>
  </si>
  <si>
    <t>Utilizes the latest Power BI custom visual API.</t>
  </si>
  <si>
    <t>No</t>
  </si>
  <si>
    <t>Yes</t>
  </si>
  <si>
    <t>F01</t>
  </si>
  <si>
    <t>Bookmarks</t>
  </si>
  <si>
    <t>Allows the visual to be included in Power BI bookmarks for storytelling or saving states.</t>
  </si>
  <si>
    <t>F02</t>
  </si>
  <si>
    <t>Highlight</t>
  </si>
  <si>
    <t>Supports highlighting data points when interacting with other visuals.</t>
  </si>
  <si>
    <t>F03</t>
  </si>
  <si>
    <t>Allows users to interact with data points for more details or cross-filtering.</t>
  </si>
  <si>
    <t>F04</t>
  </si>
  <si>
    <t>Conditional Formatting</t>
  </si>
  <si>
    <t>Allows dynamic conditional formatting based on data values or conditions.</t>
  </si>
  <si>
    <t>Not available</t>
  </si>
  <si>
    <t>F05</t>
  </si>
  <si>
    <t>Tooltips</t>
  </si>
  <si>
    <t>Displays additional information when hovering over data points.</t>
  </si>
  <si>
    <t>Report Tooltips</t>
  </si>
  <si>
    <t>Supports custom report page tooltips.</t>
  </si>
  <si>
    <t>Modern Tooltips</t>
  </si>
  <si>
    <t>Utilizes the latest tooltip design and capabilities.</t>
  </si>
  <si>
    <t>F06</t>
  </si>
  <si>
    <t>Drilldown</t>
  </si>
  <si>
    <t>Allows users to navigate through hierarchical data levels.</t>
  </si>
  <si>
    <t>F07</t>
  </si>
  <si>
    <t>Subtotals API (for Matrix Mapping)</t>
  </si>
  <si>
    <t>Supports the Subtotals API for matrix visuals so to properly display subtotals for aggregated data.</t>
  </si>
  <si>
    <t>F08</t>
  </si>
  <si>
    <t>Sync Slicers (for Slicers)</t>
  </si>
  <si>
    <t>F09</t>
  </si>
  <si>
    <t>On-Object Formatting</t>
  </si>
  <si>
    <t>Provides formatting options directly on the visual elements.</t>
  </si>
  <si>
    <t>F10</t>
  </si>
  <si>
    <t>Data Mapping</t>
  </si>
  <si>
    <t>Connect data fields to visual properties for data visualization.</t>
  </si>
  <si>
    <t>F11</t>
  </si>
  <si>
    <t>Dynamic Format Strings</t>
  </si>
  <si>
    <t>Supports dynamic format strings as defined by DAX expressions or Calculation Groups.</t>
  </si>
  <si>
    <t>Arc Diagram</t>
  </si>
  <si>
    <t>Area Chart</t>
  </si>
  <si>
    <t>Bar Chart</t>
  </si>
  <si>
    <t>Stacked Bars</t>
  </si>
  <si>
    <t>Beeswarm Chart</t>
  </si>
  <si>
    <t>Jittering</t>
  </si>
  <si>
    <t>Allows data points to be jittered to avoid overlap and improve visibility.</t>
  </si>
  <si>
    <t>Group Differentiation</t>
  </si>
  <si>
    <t>Supports visual differentiation between groups or categories within the data.</t>
  </si>
  <si>
    <t>Bowtie Chart</t>
  </si>
  <si>
    <t>Box &amp; Whisker Plot</t>
  </si>
  <si>
    <t>Multiple Series Support</t>
  </si>
  <si>
    <t>Enables the display of multiple data series within the same chart, each represented by different colors or shapes.</t>
  </si>
  <si>
    <t>Bubble Map</t>
  </si>
  <si>
    <t>Color Gradient</t>
  </si>
  <si>
    <t>Bullet Chart</t>
  </si>
  <si>
    <t>Calendar</t>
  </si>
  <si>
    <t>Date Range Selection</t>
  </si>
  <si>
    <t>Allows users to select a specific date range for filtering data.</t>
  </si>
  <si>
    <t>Event Markers</t>
  </si>
  <si>
    <t>Candlestick Chart</t>
  </si>
  <si>
    <t>Open/Close Indicators</t>
  </si>
  <si>
    <t>Displays open and close prices distinctly for each time period.</t>
  </si>
  <si>
    <t>High/Low Indicators</t>
  </si>
  <si>
    <t>Shows high and low prices for each time period, enhancing price range visibility.</t>
  </si>
  <si>
    <t>Card</t>
  </si>
  <si>
    <t>Cartogram</t>
  </si>
  <si>
    <t>Chord Diagram</t>
  </si>
  <si>
    <t>Choropleth Map</t>
  </si>
  <si>
    <t>Circle Packing</t>
  </si>
  <si>
    <t>Combo Chart</t>
  </si>
  <si>
    <t>Dual Axis Support</t>
  </si>
  <si>
    <t>Allows for the display of two different scales on the Y-axis for better comparison of data series.</t>
  </si>
  <si>
    <t>Data Series Customization</t>
  </si>
  <si>
    <t>Enables customization of individual data series, including different colors and marker styles.</t>
  </si>
  <si>
    <t>Node Customization</t>
  </si>
  <si>
    <t>Decorative Element</t>
  </si>
  <si>
    <t>Dendrogram</t>
  </si>
  <si>
    <t>Density Plot</t>
  </si>
  <si>
    <t>Allows users to adjust the bandwidth for the density estimation.</t>
  </si>
  <si>
    <t>Donut Chart</t>
  </si>
  <si>
    <t>Inner Labeling</t>
  </si>
  <si>
    <t>Allows for displaying labels or values in the center of the donut chart for better visibility.</t>
  </si>
  <si>
    <t>Percentage Display</t>
  </si>
  <si>
    <t>Shows percentage values for each segment of the donut chart, enhancing understanding of proportions.</t>
  </si>
  <si>
    <t>Clustering</t>
  </si>
  <si>
    <t>Groups nearby data points into clusters for better visualization of density.</t>
  </si>
  <si>
    <t>Dot Matrix Chart</t>
  </si>
  <si>
    <t>Data Density Control</t>
  </si>
  <si>
    <t>Allows users to adjust the density of dots displayed for better clarity.</t>
  </si>
  <si>
    <t>Custom Dot Size</t>
  </si>
  <si>
    <t>Enables customization of dot sizes based on data values for enhanced visual impact.</t>
  </si>
  <si>
    <t>Dot Plot</t>
  </si>
  <si>
    <t>Enables variation in dot size based on a specific measure to enhance visual impact.</t>
  </si>
  <si>
    <t>Flow Chart</t>
  </si>
  <si>
    <t>Path Highlighting</t>
  </si>
  <si>
    <t>Flow Map</t>
  </si>
  <si>
    <t>Allows users to highlight specific paths or flows within the map for better visibility.</t>
  </si>
  <si>
    <t>Funnel Chart</t>
  </si>
  <si>
    <t>Percentage of Total</t>
  </si>
  <si>
    <t>Displays the percentage of the total for each stage, helping users understand the conversion rates.</t>
  </si>
  <si>
    <t>Gantt Chart</t>
  </si>
  <si>
    <t>Task Dependencies</t>
  </si>
  <si>
    <t>Allows users to visualize dependencies between tasks in the Gantt chart.</t>
  </si>
  <si>
    <t>Milestones</t>
  </si>
  <si>
    <t>Supports the addition of milestone markers to indicate important deadlines.</t>
  </si>
  <si>
    <t>Gauge</t>
  </si>
  <si>
    <t>Target Value Indicator</t>
  </si>
  <si>
    <t>Displays a target value alongside the gauge for comparison.</t>
  </si>
  <si>
    <t>Range Colors</t>
  </si>
  <si>
    <t>Allows customization of color ranges to represent different thresholds.</t>
  </si>
  <si>
    <t>Heatmap</t>
  </si>
  <si>
    <t>Supports color gradients to represent data density or intensity effectively.</t>
  </si>
  <si>
    <t>Hexbin Map</t>
  </si>
  <si>
    <t>Hexagon Size Adjustment</t>
  </si>
  <si>
    <t>Allows users to adjust the size of hexagons for better visualization of data density.</t>
  </si>
  <si>
    <t>Histogram</t>
  </si>
  <si>
    <t>Bin Size Adjustment</t>
  </si>
  <si>
    <t>Allows users to customize the size of bins for better data representation.</t>
  </si>
  <si>
    <t>Cumulative Frequency</t>
  </si>
  <si>
    <t>Enables the display of cumulative frequency distribution alongside the histogram.</t>
  </si>
  <si>
    <t>Illustration Diagram</t>
  </si>
  <si>
    <t>Custom Annotations</t>
  </si>
  <si>
    <t>Isopleth Map</t>
  </si>
  <si>
    <t>Supports color gradients to represent varying values across regions.</t>
  </si>
  <si>
    <t>KPI</t>
  </si>
  <si>
    <t>Target Value</t>
  </si>
  <si>
    <t>Displays a target value alongside the actual value for comparison.</t>
  </si>
  <si>
    <t>Trend Indicator</t>
  </si>
  <si>
    <t>Shows an indicator (up/down arrow) to represent the trend compared to a previous period.</t>
  </si>
  <si>
    <t>Likert Scale Chart</t>
  </si>
  <si>
    <t>Custom Response Labels</t>
  </si>
  <si>
    <t>Allows customization of response labels for better clarity in survey results.</t>
  </si>
  <si>
    <t>Diverging Color Scale</t>
  </si>
  <si>
    <t>Supports a diverging color scale to represent positive and negative responses distinctly.</t>
  </si>
  <si>
    <t>Line Chart</t>
  </si>
  <si>
    <t>Lollipop Chart</t>
  </si>
  <si>
    <t>Data Labels</t>
  </si>
  <si>
    <t>Marimekko Chart</t>
  </si>
  <si>
    <t>Segment Labels</t>
  </si>
  <si>
    <t>Allows the display of labels on segments for better clarity and understanding.</t>
  </si>
  <si>
    <t>Matrix</t>
  </si>
  <si>
    <t>Mind Map</t>
  </si>
  <si>
    <t>Motion Chart</t>
  </si>
  <si>
    <t>Narrative</t>
  </si>
  <si>
    <t>Dynamic Text Boxes</t>
  </si>
  <si>
    <t>Allows for the inclusion of dynamic text that updates based on filters or selections.</t>
  </si>
  <si>
    <t>Image Support</t>
  </si>
  <si>
    <t>Enables the inclusion of images or icons to enhance storytelling within the narrative.</t>
  </si>
  <si>
    <t>Network Diagram</t>
  </si>
  <si>
    <t>Edge Labels</t>
  </si>
  <si>
    <t>Radial Axis Customization</t>
  </si>
  <si>
    <t>Org Chart</t>
  </si>
  <si>
    <t>Parallel Coordinates Plot</t>
  </si>
  <si>
    <t>Axis Scaling</t>
  </si>
  <si>
    <t>Allows each axis to be independently scaled to enhance data visualization.</t>
  </si>
  <si>
    <t>Custom Grouping</t>
  </si>
  <si>
    <t>Pareto Chart</t>
  </si>
  <si>
    <t>Pictogram Chart</t>
  </si>
  <si>
    <t>Custom Icons</t>
  </si>
  <si>
    <t>Allows the use of custom icons to represent data points visually.</t>
  </si>
  <si>
    <t>Pie Chart</t>
  </si>
  <si>
    <t>Point &amp; Figure Chart</t>
  </si>
  <si>
    <t>Box Size Setting</t>
  </si>
  <si>
    <t>Allows users to define the box size for the Point &amp; Figure chart, influencing the granularity of price movements.</t>
  </si>
  <si>
    <t>Polar Area Chart</t>
  </si>
  <si>
    <t>Allows customization of the radial axis, including scales and labels for better clarity.</t>
  </si>
  <si>
    <t>Population Pyramid</t>
  </si>
  <si>
    <t>Proportional Area Chart</t>
  </si>
  <si>
    <t>Legend Customization</t>
  </si>
  <si>
    <t>Area Sizing Options</t>
  </si>
  <si>
    <t>Provides options for adjusting how areas are sized based on data values.</t>
  </si>
  <si>
    <t>Pyramid Chart</t>
  </si>
  <si>
    <t>Radar Chart</t>
  </si>
  <si>
    <t>Radial Bar Chart</t>
  </si>
  <si>
    <t>Ribbon Chart</t>
  </si>
  <si>
    <t>Sankey Diagram</t>
  </si>
  <si>
    <t>Flow Direction</t>
  </si>
  <si>
    <t>Sparklines</t>
  </si>
  <si>
    <t>Spiral Plot</t>
  </si>
  <si>
    <t>Stream Chart</t>
  </si>
  <si>
    <t>Table</t>
  </si>
  <si>
    <t>Row-Level Formatting</t>
  </si>
  <si>
    <t>Allows for formatting individual rows based on certain criteria for better readability.</t>
  </si>
  <si>
    <t>Column Sorting</t>
  </si>
  <si>
    <t>Paging</t>
  </si>
  <si>
    <t>Supports pagination to navigate through large datasets efficiently.</t>
  </si>
  <si>
    <t>Timeline</t>
  </si>
  <si>
    <t>Allows users to mark specific events or milestones on the timeline for better visualization.</t>
  </si>
  <si>
    <t>Time Range Selection</t>
  </si>
  <si>
    <t>Enables users to select a specific range of time to focus on within the timeline.</t>
  </si>
  <si>
    <t>Timetable</t>
  </si>
  <si>
    <t>Tornado Diagram</t>
  </si>
  <si>
    <t>Dynamic Sorting</t>
  </si>
  <si>
    <t>Tree Diagram</t>
  </si>
  <si>
    <t>Hierarchical Labels</t>
  </si>
  <si>
    <t>Treemap</t>
  </si>
  <si>
    <t>Supports displaying hierarchical labels for better understanding of data structure.</t>
  </si>
  <si>
    <t>Venn Diagram</t>
  </si>
  <si>
    <t>Violin Plot</t>
  </si>
  <si>
    <t>Multiple Distributions</t>
  </si>
  <si>
    <t>Visual Builder</t>
  </si>
  <si>
    <t>Template Support</t>
  </si>
  <si>
    <t>Includes support for saving and reusing visual templates.</t>
  </si>
  <si>
    <t>Sharing</t>
  </si>
  <si>
    <t>Allows sharing custom visuals with others.</t>
  </si>
  <si>
    <t>Waffle Chart</t>
  </si>
  <si>
    <t>Waterfall Chart</t>
  </si>
  <si>
    <t>Word Cloud</t>
  </si>
  <si>
    <t>3D Bar Chart</t>
  </si>
  <si>
    <t>3D Pie Chart</t>
  </si>
  <si>
    <t>3D Scatter Plot</t>
  </si>
  <si>
    <t>3D Surface Plot</t>
  </si>
  <si>
    <t>Dumbbell Chart</t>
  </si>
  <si>
    <t>Design</t>
  </si>
  <si>
    <t>D00</t>
  </si>
  <si>
    <t>Look and Feel</t>
  </si>
  <si>
    <t>Overall aesthetic quality of the visual.</t>
  </si>
  <si>
    <t>Terrible</t>
  </si>
  <si>
    <t>Poor</t>
  </si>
  <si>
    <t>Average</t>
  </si>
  <si>
    <t>Good</t>
  </si>
  <si>
    <t>Excellent</t>
  </si>
  <si>
    <t>D01</t>
  </si>
  <si>
    <t>Power BI Design Adherence</t>
  </si>
  <si>
    <t>Consistency with Power BI's design guidelines.</t>
  </si>
  <si>
    <t>D02</t>
  </si>
  <si>
    <t>Consistent Design Across UI</t>
  </si>
  <si>
    <t>Uniformity in design elements throughout the visual interface.</t>
  </si>
  <si>
    <t>D07</t>
  </si>
  <si>
    <t>Chart Type(s) Design Adherence</t>
  </si>
  <si>
    <t>Consistency with design principles for the chosen chart type(s).</t>
  </si>
  <si>
    <t>Partially</t>
  </si>
  <si>
    <t>D03</t>
  </si>
  <si>
    <t>High Quality Images or Icons</t>
  </si>
  <si>
    <t>Uses high-resolution images where applicable.</t>
  </si>
  <si>
    <t>D04</t>
  </si>
  <si>
    <t>Easy to Use and Intuitive</t>
  </si>
  <si>
    <t>User-friendly design that is easy to navigate and understand.</t>
  </si>
  <si>
    <t>D05</t>
  </si>
  <si>
    <t>Wizard or Setup Guide</t>
  </si>
  <si>
    <t>Provides a setup wizard to guide users in the visual.</t>
  </si>
  <si>
    <t>D06</t>
  </si>
  <si>
    <t>Visual Responsiveness</t>
  </si>
  <si>
    <t>How well the visual adapts to different visual sizes</t>
  </si>
  <si>
    <t>D10</t>
  </si>
  <si>
    <t>Accessibility Features</t>
  </si>
  <si>
    <t>Support for accessibility features like screen readers, keyboard navigation, etc.</t>
  </si>
  <si>
    <t>Not Available</t>
  </si>
  <si>
    <t>D11</t>
  </si>
  <si>
    <t>Multiple Language Localization</t>
  </si>
  <si>
    <t>Support for multiple languages interface.</t>
  </si>
  <si>
    <t>Partial</t>
  </si>
  <si>
    <t>Full</t>
  </si>
  <si>
    <t>D20</t>
  </si>
  <si>
    <t>Loading Time</t>
  </si>
  <si>
    <t>Time taken to load the visual in Power BI with typical data volumes.</t>
  </si>
  <si>
    <t>Slow</t>
  </si>
  <si>
    <t>Fast</t>
  </si>
  <si>
    <t>D21</t>
  </si>
  <si>
    <t>Interaction Responsiveness</t>
  </si>
  <si>
    <t>How quickly the visual responds to user interactions.</t>
  </si>
  <si>
    <t>D22</t>
  </si>
  <si>
    <t>Scalability</t>
  </si>
  <si>
    <t>The visual's ability to handle large datasets without performance degradation.</t>
  </si>
  <si>
    <t>D23</t>
  </si>
  <si>
    <t>Performance Optimization Features</t>
  </si>
  <si>
    <t>Availability of features like data reduction or performance settings.</t>
  </si>
  <si>
    <t>Support</t>
  </si>
  <si>
    <t>S00</t>
  </si>
  <si>
    <t>Email Support</t>
  </si>
  <si>
    <t>Availability of email support for users (also through a form).</t>
  </si>
  <si>
    <t>S01</t>
  </si>
  <si>
    <t>Chat Support</t>
  </si>
  <si>
    <t>Availability of chat support for users.</t>
  </si>
  <si>
    <t>AI</t>
  </si>
  <si>
    <t>Human</t>
  </si>
  <si>
    <t>S02</t>
  </si>
  <si>
    <t>Phone Support</t>
  </si>
  <si>
    <t>Availability of phone support for users.</t>
  </si>
  <si>
    <t>S10</t>
  </si>
  <si>
    <t>Documentation Site</t>
  </si>
  <si>
    <t>Presence of a dedicated documentation website or specific area.</t>
  </si>
  <si>
    <t>S11</t>
  </si>
  <si>
    <t>Screenshots or Screencasts in Documentation</t>
  </si>
  <si>
    <t>Presence of screenshots or screencast in the documentation.</t>
  </si>
  <si>
    <t>None</t>
  </si>
  <si>
    <t>Some</t>
  </si>
  <si>
    <t>Extensive</t>
  </si>
  <si>
    <t>S12</t>
  </si>
  <si>
    <t>Step-by-step Instructions in Documentation</t>
  </si>
  <si>
    <t>Detailed guidance on using the visual in the documentation.</t>
  </si>
  <si>
    <t>S13</t>
  </si>
  <si>
    <t>Troubleshooting</t>
  </si>
  <si>
    <t>Provides solutions for common issues.</t>
  </si>
  <si>
    <t>S14</t>
  </si>
  <si>
    <t>Glossary</t>
  </si>
  <si>
    <t>Includes a glossary of terms used in the visual.</t>
  </si>
  <si>
    <t>S15</t>
  </si>
  <si>
    <t>Up-to-Date Documentation</t>
  </si>
  <si>
    <t>Documentation is current with the latest version of the visual.</t>
  </si>
  <si>
    <t>S16</t>
  </si>
  <si>
    <t>Ability to search within the documentation.</t>
  </si>
  <si>
    <t>S17</t>
  </si>
  <si>
    <t>Well-Written Documentation</t>
  </si>
  <si>
    <t>The documentation is clear, concise, and easy to understand for an international average audience.</t>
  </si>
  <si>
    <t>S20</t>
  </si>
  <si>
    <t>Articles</t>
  </si>
  <si>
    <t>Detailed tutorials provided as articles.</t>
  </si>
  <si>
    <t>S21</t>
  </si>
  <si>
    <t>Comprehensive Videos</t>
  </si>
  <si>
    <t>Video tutorials covering various aspects of the visual.</t>
  </si>
  <si>
    <t>S22</t>
  </si>
  <si>
    <t>Use Cases</t>
  </si>
  <si>
    <t>Provides real-world use cases for the visual.</t>
  </si>
  <si>
    <t>S30</t>
  </si>
  <si>
    <t>Community Forum</t>
  </si>
  <si>
    <t>Availability of a community forum for user discussions.</t>
  </si>
  <si>
    <t>S40</t>
  </si>
  <si>
    <t>Issues Tracker</t>
  </si>
  <si>
    <t>Allows users to report issues or bugs on GitHub or other platforms.</t>
  </si>
  <si>
    <t>S41</t>
  </si>
  <si>
    <t>Open Issues</t>
  </si>
  <si>
    <t>Number of unresolved issues.</t>
  </si>
  <si>
    <t>Many</t>
  </si>
  <si>
    <t>S50</t>
  </si>
  <si>
    <t>FAQ</t>
  </si>
  <si>
    <t>Availability of a Frequently asked questions page.</t>
  </si>
  <si>
    <t>Incomplete</t>
  </si>
  <si>
    <t>Exhaustive</t>
  </si>
  <si>
    <t>S51</t>
  </si>
  <si>
    <t>Changelog</t>
  </si>
  <si>
    <t>Provides a changelog of updates and new features.</t>
  </si>
  <si>
    <t>Visual</t>
  </si>
  <si>
    <t>Visible</t>
  </si>
  <si>
    <t>Choose</t>
  </si>
  <si>
    <t>Instructions</t>
  </si>
  <si>
    <t>OKVIZ Rating Checklist</t>
  </si>
  <si>
    <t>Visual Id</t>
  </si>
  <si>
    <t>Documentation Search</t>
  </si>
  <si>
    <t>Visual Type(s)</t>
  </si>
  <si>
    <t>Bump Chart</t>
  </si>
  <si>
    <t>Chart on Map</t>
  </si>
  <si>
    <t>Infographic</t>
  </si>
  <si>
    <t>Voronoi Diagram</t>
  </si>
  <si>
    <t>Other</t>
  </si>
  <si>
    <t>Fan Chart</t>
  </si>
  <si>
    <t>Sunburst Chart</t>
  </si>
  <si>
    <t>Type</t>
  </si>
  <si>
    <t>Data Point Selection</t>
  </si>
  <si>
    <t>F03.1</t>
  </si>
  <si>
    <t>Data Point Multiple Selection</t>
  </si>
  <si>
    <t>Power BI or Custom System</t>
  </si>
  <si>
    <t>F05.1</t>
  </si>
  <si>
    <t>F05.2</t>
  </si>
  <si>
    <t>F12</t>
  </si>
  <si>
    <t>Colors Customization</t>
  </si>
  <si>
    <t>Supports color customization to differentiate data points or categories.</t>
  </si>
  <si>
    <t>F13</t>
  </si>
  <si>
    <t>Templates</t>
  </si>
  <si>
    <t>Possibility to export and import reusable templates.</t>
  </si>
  <si>
    <t>F14</t>
  </si>
  <si>
    <t>Legend</t>
  </si>
  <si>
    <t>Supports a legend to provide context for data.</t>
  </si>
  <si>
    <t>F14.1</t>
  </si>
  <si>
    <t>Allows customization of the legend, including position, orientation, title, and font size.</t>
  </si>
  <si>
    <t>F15</t>
  </si>
  <si>
    <t>Enables the display of labels for data points.</t>
  </si>
  <si>
    <t>F16</t>
  </si>
  <si>
    <t>Small Multiples</t>
  </si>
  <si>
    <t>Supports small multiples to display multiple charts in a grid layout.</t>
  </si>
  <si>
    <t>FC.NET01</t>
  </si>
  <si>
    <t>Allows customization of node size, color, and shape.</t>
  </si>
  <si>
    <t>FC.NET01.1</t>
  </si>
  <si>
    <t>Dynamic Node Customization</t>
  </si>
  <si>
    <t>Allows customization of node size, color, and shape based on data.</t>
  </si>
  <si>
    <t>FC.NET02</t>
  </si>
  <si>
    <t>Edge Customization</t>
  </si>
  <si>
    <t>Allows customization of edge thickness, color, and style.</t>
  </si>
  <si>
    <t>FC.NET02.1</t>
  </si>
  <si>
    <t>Dynamic Edge Customization</t>
  </si>
  <si>
    <t>FC.NET03</t>
  </si>
  <si>
    <t>Node Labels</t>
  </si>
  <si>
    <t>Enables the display of labels for nodes to provide additional context.</t>
  </si>
  <si>
    <t>FC.NET04</t>
  </si>
  <si>
    <t>Enables the display of labels for edges to provide additional context.</t>
  </si>
  <si>
    <t>FC.NET05</t>
  </si>
  <si>
    <t>Edge Bundling</t>
  </si>
  <si>
    <t>Supports edge bundling to reduce visual clutter and improve readability.</t>
  </si>
  <si>
    <t>FC.NET07</t>
  </si>
  <si>
    <t>Node Clustering</t>
  </si>
  <si>
    <t>Supports grouping nodes into clusters based on data values or conditions.</t>
  </si>
  <si>
    <t>FC.NET10</t>
  </si>
  <si>
    <t>FC.CART01</t>
  </si>
  <si>
    <t>Axis Titles</t>
  </si>
  <si>
    <t>Allows users to add titles to the X and Y axes for better context.</t>
  </si>
  <si>
    <t>FC.CART02</t>
  </si>
  <si>
    <t>Axis Customization</t>
  </si>
  <si>
    <t>Allows customization of the axis labels, tick marks, and scales.</t>
  </si>
  <si>
    <t>FC.CART04</t>
  </si>
  <si>
    <t>Grid Lines</t>
  </si>
  <si>
    <t>Supports grid lines to aid in reading data values.</t>
  </si>
  <si>
    <t>FC.CART05</t>
  </si>
  <si>
    <t>Reference Lines</t>
  </si>
  <si>
    <t>Supports adding reference lines to highlight specific values or thresholds.</t>
  </si>
  <si>
    <t>FC.CART07</t>
  </si>
  <si>
    <t>Data Point Markers</t>
  </si>
  <si>
    <t>Allows users to conditionally format data point markers.</t>
  </si>
  <si>
    <t>FC.CART08</t>
  </si>
  <si>
    <t>Trend Lines</t>
  </si>
  <si>
    <t>Supports adding trend lines to visualize data trends.</t>
  </si>
  <si>
    <t>FC.CART09</t>
  </si>
  <si>
    <t>Pan &amp; Zoom</t>
  </si>
  <si>
    <t>Supports panning and zooming for better exploration of data.</t>
  </si>
  <si>
    <t>FC.CART10</t>
  </si>
  <si>
    <t>Supports sorting data points based on specific columns or measures.</t>
  </si>
  <si>
    <t>FC.CART11</t>
  </si>
  <si>
    <t>Allows users to add custom annotations based on data or conditions.</t>
  </si>
  <si>
    <t>FT.AREA01</t>
  </si>
  <si>
    <t>Absolute or Percentage Values</t>
  </si>
  <si>
    <t>Allows users to switch between absolute and percentage values for better comparison.</t>
  </si>
  <si>
    <t>FT.AREA02</t>
  </si>
  <si>
    <t>Stacking Sorting</t>
  </si>
  <si>
    <t>Supports sorting of stacked areas.</t>
  </si>
  <si>
    <t>FT.AREA03</t>
  </si>
  <si>
    <t>Smooth Curves</t>
  </si>
  <si>
    <t>Supports smooth curves for better visualization of trends.</t>
  </si>
  <si>
    <t>FT.AREA04</t>
  </si>
  <si>
    <t>Stroke Customization</t>
  </si>
  <si>
    <t>Allows customization of the stroke for better visual distinction.</t>
  </si>
  <si>
    <t>FT.AREA05</t>
  </si>
  <si>
    <t>Category Labels</t>
  </si>
  <si>
    <t>Enables the display of labels for categories.</t>
  </si>
  <si>
    <t>FT.BAR01</t>
  </si>
  <si>
    <t>Multiple Orientations</t>
  </si>
  <si>
    <t>Supports both horizontal and vertical orientations.</t>
  </si>
  <si>
    <t>FC.MAP01</t>
  </si>
  <si>
    <t>Map Styles</t>
  </si>
  <si>
    <t>Provides options for customizing map styles and themes. E.g: Light, Dark, Streets, Satellite, etc.</t>
  </si>
  <si>
    <t>FC.MAP02</t>
  </si>
  <si>
    <t>Map Services Integration</t>
  </si>
  <si>
    <t>Allows integration with map services for detailed mapping capabilities.</t>
  </si>
  <si>
    <t>FC.MAP02.1</t>
  </si>
  <si>
    <t>Offline Maps</t>
  </si>
  <si>
    <t>Supports offline maps for disconnected environments.</t>
  </si>
  <si>
    <t>FC.MAP03</t>
  </si>
  <si>
    <t>Location Data Integration</t>
  </si>
  <si>
    <t>FC.MAP04</t>
  </si>
  <si>
    <t>FC.MAP05</t>
  </si>
  <si>
    <t>Map Annotations</t>
  </si>
  <si>
    <t>Allows users to add custom annotations to the map.</t>
  </si>
  <si>
    <t>FC.MAP06</t>
  </si>
  <si>
    <t>FT.CMAP01</t>
  </si>
  <si>
    <t>Bar Charts</t>
  </si>
  <si>
    <t>Allows the display of bar charts on maps.</t>
  </si>
  <si>
    <t>FT.CMAP02</t>
  </si>
  <si>
    <t>Pie/Donut Charts</t>
  </si>
  <si>
    <t>Allows the display of pie or donut charts on maps.</t>
  </si>
  <si>
    <t>FT.BEES01</t>
  </si>
  <si>
    <t>FT.BEES02</t>
  </si>
  <si>
    <t>FC.FLOW01</t>
  </si>
  <si>
    <t>Labels on Flow Lines/Stages</t>
  </si>
  <si>
    <t>Provides additional information about transitions.</t>
  </si>
  <si>
    <t>FC.FLOW03</t>
  </si>
  <si>
    <t>Swimlanes</t>
  </si>
  <si>
    <t>Allows to divide the chart into sections to represent different actors or departments.</t>
  </si>
  <si>
    <t>FC.FLOW05</t>
  </si>
  <si>
    <t>Background Grid</t>
  </si>
  <si>
    <t>Allow to display a grid to align elements neatly.</t>
  </si>
  <si>
    <t>FT.BOX01</t>
  </si>
  <si>
    <t>Quartile Coloring</t>
  </si>
  <si>
    <t>Possibility to individually color upper and lower quartile.</t>
  </si>
  <si>
    <t>FT.BOX02</t>
  </si>
  <si>
    <t>FT.BOX03</t>
  </si>
  <si>
    <t>FT.BOX04</t>
  </si>
  <si>
    <t>Data Point Borders</t>
  </si>
  <si>
    <t>Allows users to customize data points border.</t>
  </si>
  <si>
    <t>FC.PROP03</t>
  </si>
  <si>
    <t>FC.PROP04</t>
  </si>
  <si>
    <t>Borders Customization</t>
  </si>
  <si>
    <t>Allows customization of borders for better visual distinction.</t>
  </si>
  <si>
    <t>FC.PROP05</t>
  </si>
  <si>
    <t>FC.PROP06</t>
  </si>
  <si>
    <t>FC.PROP07</t>
  </si>
  <si>
    <t>Multiple Selection with Lasso</t>
  </si>
  <si>
    <t>Allows users to select multiple data points by drawing a lasso around them.</t>
  </si>
  <si>
    <t>FT.BUBBLE01</t>
  </si>
  <si>
    <t>FT.BUBBLE02</t>
  </si>
  <si>
    <t>FT.BUBBLE03</t>
  </si>
  <si>
    <t>Quadrant Division</t>
  </si>
  <si>
    <t>Possibility to divide the visual in quadrants, both in a fixed and dynamic way.</t>
  </si>
  <si>
    <t>FT.BUBBLE04</t>
  </si>
  <si>
    <t>Quadrant Background</t>
  </si>
  <si>
    <t>Possibility to add a background to each quadrant.</t>
  </si>
  <si>
    <t>FT.BUBBLE05</t>
  </si>
  <si>
    <t>Transparency</t>
  </si>
  <si>
    <t>Possibility to add transparency to avoid overlap and improve visibility.</t>
  </si>
  <si>
    <t>FT.BUBBLE06</t>
  </si>
  <si>
    <t>Dynamic Z-Order</t>
  </si>
  <si>
    <t>Possibility to control the z-order through measures or columns.</t>
  </si>
  <si>
    <t>FT.BUBBLE07</t>
  </si>
  <si>
    <t>FT.BUBBLE08</t>
  </si>
  <si>
    <t>FT.BMAP01</t>
  </si>
  <si>
    <t>FT.BMAP02</t>
  </si>
  <si>
    <t>FT.BULLET01</t>
  </si>
  <si>
    <t>Comparison Measure</t>
  </si>
  <si>
    <t>Supports the display of a comparison measure to provide context for the main measure.</t>
  </si>
  <si>
    <t>FT.BULLET02</t>
  </si>
  <si>
    <t>Target Labels</t>
  </si>
  <si>
    <t>Enables the display of labels for target values.</t>
  </si>
  <si>
    <t>FT.BULLET03</t>
  </si>
  <si>
    <t>States or Bands</t>
  </si>
  <si>
    <t>Supports different states or bands to indicate performance levels.</t>
  </si>
  <si>
    <t>FT.BULLET04</t>
  </si>
  <si>
    <t>Variance</t>
  </si>
  <si>
    <t>Supports the display of variance between the main measure and the target.</t>
  </si>
  <si>
    <t>FT.BULLET05</t>
  </si>
  <si>
    <t>FT.BUMP01</t>
  </si>
  <si>
    <t>FC.TIME01</t>
  </si>
  <si>
    <t>FC.TIME03</t>
  </si>
  <si>
    <t>FC.TIME06</t>
  </si>
  <si>
    <t>FT.CAL01</t>
  </si>
  <si>
    <t>FT.CAL02</t>
  </si>
  <si>
    <t>Hierarchical Navigation</t>
  </si>
  <si>
    <t>Supports hierarchical navigation for better exploration of data.</t>
  </si>
  <si>
    <t>FT.CAL03</t>
  </si>
  <si>
    <t>Custom Calendar Layout</t>
  </si>
  <si>
    <t>Allows users to customize the layout of the calendar view.</t>
  </si>
  <si>
    <t>FT.CAL04</t>
  </si>
  <si>
    <t>Multiple Calendar Systems</t>
  </si>
  <si>
    <t>Supports multiple calendar systems for different regions or cultures.</t>
  </si>
  <si>
    <t>FT.CAL04.1</t>
  </si>
  <si>
    <t>Custom Calendar System</t>
  </si>
  <si>
    <t>Allows users to define a custom calendar system.</t>
  </si>
  <si>
    <t>FT.CAL05</t>
  </si>
  <si>
    <t>Multiple Measures</t>
  </si>
  <si>
    <t>Supports displaying multiple measures on the calendar view.</t>
  </si>
  <si>
    <t>FT.CAL06</t>
  </si>
  <si>
    <t>Events</t>
  </si>
  <si>
    <t>Displays events or activities on the calendar view.</t>
  </si>
  <si>
    <t>FT.CAL07</t>
  </si>
  <si>
    <t>Automatic Holidays</t>
  </si>
  <si>
    <t>Highlights holidays or special days on the calendar view automatically.</t>
  </si>
  <si>
    <t>FT.CAL08</t>
  </si>
  <si>
    <t>Calendar Localization</t>
  </si>
  <si>
    <t>Supports localization for different regions or languages. This includes date formats, day names, first week day, etc.</t>
  </si>
  <si>
    <t>FT.CANDLE01</t>
  </si>
  <si>
    <t>FT.CANDLE02</t>
  </si>
  <si>
    <t>FT.CANDLE03</t>
  </si>
  <si>
    <t>Volume Bars</t>
  </si>
  <si>
    <t>Supports volume bars to show trading volume for each time period.</t>
  </si>
  <si>
    <t>FT.CANDLE04</t>
  </si>
  <si>
    <t>Bollinger Bands</t>
  </si>
  <si>
    <t>Displays Bollinger Bands to indicate price volatility.</t>
  </si>
  <si>
    <t>FT.CANDLE05</t>
  </si>
  <si>
    <t>Stock Services Integration</t>
  </si>
  <si>
    <t>Supports integration with stock services to fetch real-time data.</t>
  </si>
  <si>
    <t>FC.SINGLE01</t>
  </si>
  <si>
    <t>Contextual Label</t>
  </si>
  <si>
    <t>Supports displaying a label to provide context or summary information.</t>
  </si>
  <si>
    <t>FC.SINGLE02</t>
  </si>
  <si>
    <t>Advanced Formatting</t>
  </si>
  <si>
    <t>Supports advanced formatting options for the visual elements.</t>
  </si>
  <si>
    <t>FT.CHORD01</t>
  </si>
  <si>
    <t>Ribbons or Lines</t>
  </si>
  <si>
    <t>Supports different visual representations for the connections between entities.</t>
  </si>
  <si>
    <t>FT.CHORD02</t>
  </si>
  <si>
    <t>Chord Sorting</t>
  </si>
  <si>
    <t>Supports sorting chords based on specific criteria.</t>
  </si>
  <si>
    <t>Hide Zero Values</t>
  </si>
  <si>
    <t>Option to hide bars with zero/blank values.</t>
  </si>
  <si>
    <t>FT.COMBO01</t>
  </si>
  <si>
    <t>FT.COMBO02</t>
  </si>
  <si>
    <t>FT.COMBO03</t>
  </si>
  <si>
    <t>FC.HIER01</t>
  </si>
  <si>
    <t>FC.HIER01.1</t>
  </si>
  <si>
    <t>FC.HIER05</t>
  </si>
  <si>
    <t>FC.HIER06</t>
  </si>
  <si>
    <t>Expand/Collapse</t>
  </si>
  <si>
    <t>Supports expanding and collapsing nodes to show or hide branches.</t>
  </si>
  <si>
    <t>FC.HIER07</t>
  </si>
  <si>
    <t>FC.HIER07.1</t>
  </si>
  <si>
    <t>Allows customization of edge thickness, color, and style based on data.</t>
  </si>
  <si>
    <t>FC.HIER08</t>
  </si>
  <si>
    <t>FT.DENS01</t>
  </si>
  <si>
    <t>Bandwidth Customization</t>
  </si>
  <si>
    <t>FT.DENS02</t>
  </si>
  <si>
    <t>Individual Scaling</t>
  </si>
  <si>
    <t>Enables scaling of individual density plots for better comparison.</t>
  </si>
  <si>
    <t>FT.DENS03</t>
  </si>
  <si>
    <t>Supports displaying multiple density distributions on the same plot.</t>
  </si>
  <si>
    <t>FT.DENS04</t>
  </si>
  <si>
    <t>Statistical Lines</t>
  </si>
  <si>
    <t>Displays statistical lines (mean, median, etc.) on the density plot.</t>
  </si>
  <si>
    <t>FT.DENS05</t>
  </si>
  <si>
    <t>FC.POLAR03</t>
  </si>
  <si>
    <t>FC.POLAR05</t>
  </si>
  <si>
    <t>FC.POLAR06</t>
  </si>
  <si>
    <t>Allows users to group data points or categories based on specific criteria to avoid displaying too much data.</t>
  </si>
  <si>
    <t>FC.POLAR07</t>
  </si>
  <si>
    <t>Exploded Views</t>
  </si>
  <si>
    <t>Separating segments slightly to emphasize them.</t>
  </si>
  <si>
    <t>FC.POLAR08</t>
  </si>
  <si>
    <t>FC.POLAR09</t>
  </si>
  <si>
    <t>3D Effects</t>
  </si>
  <si>
    <t>Supports 3D effects to enhance the visual appearance.</t>
  </si>
  <si>
    <t>FT.DONUT01</t>
  </si>
  <si>
    <t>FT.DONUT02</t>
  </si>
  <si>
    <t>FT.DOTMATR01</t>
  </si>
  <si>
    <t>FT.DOTMATR02</t>
  </si>
  <si>
    <t>FT.DOT01</t>
  </si>
  <si>
    <t>FT.DOT02</t>
  </si>
  <si>
    <t>FT.DOT3</t>
  </si>
  <si>
    <t>FT.DUMB01</t>
  </si>
  <si>
    <t>FT.FAN01</t>
  </si>
  <si>
    <t>Area Coloring</t>
  </si>
  <si>
    <t>Allow users to customize the coloring of the forecast area.</t>
  </si>
  <si>
    <t>Current Selection Display</t>
  </si>
  <si>
    <t>Shows the current selection of filters applied to the data.</t>
  </si>
  <si>
    <t>FT.FMAP01</t>
  </si>
  <si>
    <t>FT.FMAP02</t>
  </si>
  <si>
    <t>Visualizes flow direction with arrows or color gradients.</t>
  </si>
  <si>
    <t>FT.FMAP03</t>
  </si>
  <si>
    <t>Flow Density</t>
  </si>
  <si>
    <t>Visualizes flow density with varying line thickness or color intensity.</t>
  </si>
  <si>
    <t>FT.FMAP04</t>
  </si>
  <si>
    <t>Origin-Destination Labels</t>
  </si>
  <si>
    <t>Displays labels for origin and destination points to provide context.</t>
  </si>
  <si>
    <t>FT.FMAP05</t>
  </si>
  <si>
    <t>Multiple Flows</t>
  </si>
  <si>
    <t>Supports displaying multiple flows or paths on the same map.</t>
  </si>
  <si>
    <t>FT.FUN01</t>
  </si>
  <si>
    <t>FT.FUN02</t>
  </si>
  <si>
    <t>Custom Shape</t>
  </si>
  <si>
    <t>Allows users to customize the shape of the funnel chart.</t>
  </si>
  <si>
    <t>FT.GANTT01</t>
  </si>
  <si>
    <t>FT.GANTT02</t>
  </si>
  <si>
    <t>FT.GANTT03</t>
  </si>
  <si>
    <t>Timeline Customization</t>
  </si>
  <si>
    <t>Allows users to customize the timeline format and intervals.</t>
  </si>
  <si>
    <t>FT.GANTT04</t>
  </si>
  <si>
    <t>Supports expand/collapse functionality for better organization of tasks.</t>
  </si>
  <si>
    <t>FT.GAUGE01</t>
  </si>
  <si>
    <t>FT.GAUGE02</t>
  </si>
  <si>
    <t>FC.TABLE01</t>
  </si>
  <si>
    <t>Allows users to sort columns based on specific criteria.</t>
  </si>
  <si>
    <t>FC.TABLE03</t>
  </si>
  <si>
    <t>Row Totals</t>
  </si>
  <si>
    <t>Supports displaying totals for rows.</t>
  </si>
  <si>
    <t>FC.TABLE04</t>
  </si>
  <si>
    <t>Row Subtotals</t>
  </si>
  <si>
    <t>Supports displaying subtotals for rows.</t>
  </si>
  <si>
    <t>FC.TABLE05</t>
  </si>
  <si>
    <t>Row Grouping</t>
  </si>
  <si>
    <t>Allows users to group rows based on specific criteria.</t>
  </si>
  <si>
    <t>FT.HEAT01</t>
  </si>
  <si>
    <t>FT.HEAT02</t>
  </si>
  <si>
    <t>Supports expand/collapse functionality for better organization of data.</t>
  </si>
  <si>
    <t>FT.HEAT03</t>
  </si>
  <si>
    <t>FT.HMAP01</t>
  </si>
  <si>
    <t>FT.HIST01</t>
  </si>
  <si>
    <t>FT.HIST02</t>
  </si>
  <si>
    <t>FT.HIST03</t>
  </si>
  <si>
    <t>FT.INFO01</t>
  </si>
  <si>
    <t>Allows the use of custom icons for better visual representation of data.</t>
  </si>
  <si>
    <t>FT.INFO02</t>
  </si>
  <si>
    <t>Infographic Templates</t>
  </si>
  <si>
    <t>Provides pre-designed templates for creating infographics quickly.</t>
  </si>
  <si>
    <t>FT.MISO01</t>
  </si>
  <si>
    <t>FT.KPI01</t>
  </si>
  <si>
    <t>FT.KPI02</t>
  </si>
  <si>
    <t>FT.KPI03</t>
  </si>
  <si>
    <t>Supports the display of sparklines to show trends over time.</t>
  </si>
  <si>
    <t>FT.KPI04</t>
  </si>
  <si>
    <t>Supports displaying multiple measures in the same KPI.</t>
  </si>
  <si>
    <t>FT.LIK01</t>
  </si>
  <si>
    <t>FT.LIK02</t>
  </si>
  <si>
    <t>FT.LINE01</t>
  </si>
  <si>
    <t>Line Customization</t>
  </si>
  <si>
    <t>FT.LOLL01</t>
  </si>
  <si>
    <t>FT.MAR01</t>
  </si>
  <si>
    <t>FT.MAR02</t>
  </si>
  <si>
    <t>FT.MAR03</t>
  </si>
  <si>
    <t>FT.MATR01</t>
  </si>
  <si>
    <t>FT.NARR01</t>
  </si>
  <si>
    <t>FT.NARR02</t>
  </si>
  <si>
    <t>FT.PARCOORD01</t>
  </si>
  <si>
    <t>FT.PARCOORD02</t>
  </si>
  <si>
    <t>Supports customization of axis appearance, including labels and tick marks.</t>
  </si>
  <si>
    <t>FT.PIC01</t>
  </si>
  <si>
    <t>FT.PIE01</t>
  </si>
  <si>
    <t>Inside/Outside Labels</t>
  </si>
  <si>
    <t>Allows users to display labels inside or outside the pie chart for better readability.</t>
  </si>
  <si>
    <t>FT.PIE02</t>
  </si>
  <si>
    <t>Multiple Pies</t>
  </si>
  <si>
    <t>Supports displaying multiple pie charts for comparison.</t>
  </si>
  <si>
    <t>FT.PF01</t>
  </si>
  <si>
    <t>FT.POLAR01</t>
  </si>
  <si>
    <t>FT.PROPAREA01</t>
  </si>
  <si>
    <t>FT.PROPAREA02</t>
  </si>
  <si>
    <t>FT.RIBBON01</t>
  </si>
  <si>
    <t>FT.SANK01</t>
  </si>
  <si>
    <t>Sorting</t>
  </si>
  <si>
    <t>Supports sorting of categories or dimensions for better organization of data.</t>
  </si>
  <si>
    <t>FT.SPARK01</t>
  </si>
  <si>
    <t>Start, End, and High/Low Markers</t>
  </si>
  <si>
    <t>Supports the display of start, end, and high/low data point markers for better context.</t>
  </si>
  <si>
    <t>FT.SPARK02</t>
  </si>
  <si>
    <t>Allows customization of the stroke style and color.</t>
  </si>
  <si>
    <t>FT.SPARK03</t>
  </si>
  <si>
    <t>Supports displaying a dynamic data label that updates based on the latest data point.</t>
  </si>
  <si>
    <t>Interactive Data Label</t>
  </si>
  <si>
    <t>Change data label based on user interaction with the sparkline.</t>
  </si>
  <si>
    <t>FT.SPARK04</t>
  </si>
  <si>
    <t>FT.SPIRAL01</t>
  </si>
  <si>
    <t>FT.SPIRAL02</t>
  </si>
  <si>
    <t>Supports sorting of stacked bars.</t>
  </si>
  <si>
    <t>FT.STREAM01</t>
  </si>
  <si>
    <t>FT.STREAM02</t>
  </si>
  <si>
    <t>FT.STREAM03</t>
  </si>
  <si>
    <t>FT.STREAM04</t>
  </si>
  <si>
    <t>FT.STREAM05</t>
  </si>
  <si>
    <t>FT.TABLE01</t>
  </si>
  <si>
    <t>FT.TABLE02</t>
  </si>
  <si>
    <t>FT.TIME01</t>
  </si>
  <si>
    <t>FT.TIME02</t>
  </si>
  <si>
    <t>FT.TORN01</t>
  </si>
  <si>
    <t>FT.TORN02</t>
  </si>
  <si>
    <t>Allows the display of labels on segments.</t>
  </si>
  <si>
    <t>FT.TREEM01</t>
  </si>
  <si>
    <t>FT.VENN01</t>
  </si>
  <si>
    <t>Supports transparency for better visualization of overlapping areas.</t>
  </si>
  <si>
    <t>FT.VENN02</t>
  </si>
  <si>
    <t>Custom Sorting</t>
  </si>
  <si>
    <t>Allows users to customize the sorting of sets for better comparison.</t>
  </si>
  <si>
    <t>FT.VIOL01</t>
  </si>
  <si>
    <t>FT.VIOL02</t>
  </si>
  <si>
    <t>FT.VBUILD01</t>
  </si>
  <si>
    <t>FT.VBUILD02</t>
  </si>
  <si>
    <t>FT.VBUILD03</t>
  </si>
  <si>
    <t>FT.VBUILD04</t>
  </si>
  <si>
    <t>FT.VOR01</t>
  </si>
  <si>
    <t>Distance Measurement</t>
  </si>
  <si>
    <t>Enables the display of distance measurements between points and their corresponding Voronoi cells.</t>
  </si>
  <si>
    <t>FT.WAFF01</t>
  </si>
  <si>
    <t>Marker Customization</t>
  </si>
  <si>
    <t>Allows users to customize the marker icon type.</t>
  </si>
  <si>
    <t>FT.WAFF02</t>
  </si>
  <si>
    <t>Distance Customization</t>
  </si>
  <si>
    <t>Supports customization of the distance between markers for better visual appeal.</t>
  </si>
  <si>
    <t>FT.WATER01</t>
  </si>
  <si>
    <t>Cumulative Totals</t>
  </si>
  <si>
    <t>Supports displaying a line or additional bar indicating the cumulative total at each step.</t>
  </si>
  <si>
    <t>FT.WATER02</t>
  </si>
  <si>
    <t>Allows users to switch between stacked and unstacked bars for better comparison.</t>
  </si>
  <si>
    <t>FT.WATER03</t>
  </si>
  <si>
    <t>FT.WORDS01</t>
  </si>
  <si>
    <t>Word Orientation</t>
  </si>
  <si>
    <t>Allows users to customize the orientation of words in the cloud.</t>
  </si>
  <si>
    <t>FT.WORDS02</t>
  </si>
  <si>
    <t>Allows words to be jittered to avoid overlap and improve visibility.</t>
  </si>
  <si>
    <t>FC.3D01</t>
  </si>
  <si>
    <t>3D Rotation</t>
  </si>
  <si>
    <t>Allows users to rotate the 3D chart for better visualization.</t>
  </si>
  <si>
    <t>FC.3D02</t>
  </si>
  <si>
    <t>3D Depth</t>
  </si>
  <si>
    <t>Supports adjusting the depth of the 3D chart for better perspective.</t>
  </si>
  <si>
    <t>FC.3D03</t>
  </si>
  <si>
    <t>3D Shading &amp; Lighting</t>
  </si>
  <si>
    <t>Supports shading and lighting effects to enhance the 3D chart appearance.</t>
  </si>
  <si>
    <t>FT.3DSCAT01</t>
  </si>
  <si>
    <t>FT.3DSCAT02</t>
  </si>
  <si>
    <t>D12</t>
  </si>
  <si>
    <t>Power BI Theme Support</t>
  </si>
  <si>
    <t>Support for Power BI themes to match the visual with the report theme.</t>
  </si>
  <si>
    <t>Area</t>
  </si>
  <si>
    <t>Duplicate</t>
  </si>
  <si>
    <t>Supports syncing slicers across multiple pages.</t>
  </si>
  <si>
    <t>Stacked Areas</t>
  </si>
  <si>
    <t>Supports stacking areas for better comparison of categories.</t>
  </si>
  <si>
    <t>FT.AREA02.1</t>
  </si>
  <si>
    <t>FT.BAR02</t>
  </si>
  <si>
    <t>Supports stacking bars.</t>
  </si>
  <si>
    <t>FT.BAR02.1</t>
  </si>
  <si>
    <t>FT.BAR03</t>
  </si>
  <si>
    <t>Clustered Bars</t>
  </si>
  <si>
    <t>Supports clustering bars.</t>
  </si>
  <si>
    <t>FT.BAR04</t>
  </si>
  <si>
    <t>FC.MAP03.1</t>
  </si>
  <si>
    <t>Manual Mapping</t>
  </si>
  <si>
    <t>Supports manual mapping of categorical location data.</t>
  </si>
  <si>
    <t>FT.CMAP03</t>
  </si>
  <si>
    <t>Allows the display of sparklines on maps.</t>
  </si>
  <si>
    <t>FT.COMBO04</t>
  </si>
  <si>
    <t>Axis Synchronization</t>
  </si>
  <si>
    <t>Allows for the synchronization of axes to ensure consistent scales and alignment.</t>
  </si>
  <si>
    <t>FT.FUN03</t>
  </si>
  <si>
    <t>FT.HIST04</t>
  </si>
  <si>
    <t>Displays statistical lines (mean, median, etc.)</t>
  </si>
  <si>
    <t>FT.PARETO01</t>
  </si>
  <si>
    <t>Threshold Coloring</t>
  </si>
  <si>
    <t>Ability to color bars higher or lower than a dynamic threshold.</t>
  </si>
  <si>
    <t>Supports integration with coordinates (e.g. latitude, longitude) and categorical location data (e.g. city name, state name).</t>
  </si>
  <si>
    <t>FC.FLOW04</t>
  </si>
  <si>
    <t>Numbering Steps</t>
  </si>
  <si>
    <t>Supports numbering steps to provide a clear sequence.</t>
  </si>
  <si>
    <t>FC.FLOW06</t>
  </si>
  <si>
    <t>FC.MAP08</t>
  </si>
  <si>
    <t>Custom Markers</t>
  </si>
  <si>
    <t>Allows users to add custom map markers for additional context.</t>
  </si>
  <si>
    <t>FC.TABLE02</t>
  </si>
  <si>
    <t>FC.HIER04</t>
  </si>
  <si>
    <t>Node Positioning</t>
  </si>
  <si>
    <t>Allows users to customize node positioning for better layout control.</t>
  </si>
  <si>
    <t>FC.HIER09</t>
  </si>
  <si>
    <t>Breadcrumb Navigation</t>
  </si>
  <si>
    <t>Supports breadcrumbs to navigate through hierarchical levels.</t>
  </si>
  <si>
    <t>FC.NET06</t>
  </si>
  <si>
    <t>FC.NET08</t>
  </si>
  <si>
    <t>FC.NET09</t>
  </si>
  <si>
    <t>Directional Arrows</t>
  </si>
  <si>
    <t>Supports directional arrows to indicate the flow of relationships.</t>
  </si>
  <si>
    <t>Risk Matrix</t>
  </si>
  <si>
    <t>Joy Plot</t>
  </si>
  <si>
    <t>3D Bubble/Scatter Chart</t>
  </si>
  <si>
    <t>Bubble/Scatter Chart</t>
  </si>
  <si>
    <t>Curves Smoothing</t>
  </si>
  <si>
    <t>Supports smoothing curves for better visualization (stepped, linear, etc.)</t>
  </si>
  <si>
    <t>Allows customization of the stroke color and tickness.</t>
  </si>
  <si>
    <t>FT.BUBBLE09</t>
  </si>
  <si>
    <t>Bubble Size</t>
  </si>
  <si>
    <t>Allows users to customize the size of the bubbles based on data values.</t>
  </si>
  <si>
    <t>FT.CANDLE06</t>
  </si>
  <si>
    <t>Brick Size Customization</t>
  </si>
  <si>
    <t>Allows users to define the brick size to represent price movements (Renko chart).</t>
  </si>
  <si>
    <t>FT.CANDLE07</t>
  </si>
  <si>
    <t>Candle Style Customization</t>
  </si>
  <si>
    <t>Supports different candle styles for better visualization (OHLC chart)</t>
  </si>
  <si>
    <t>FT.CANDLE08</t>
  </si>
  <si>
    <t>Heikin-Ashi</t>
  </si>
  <si>
    <t>Supports Heikin-Ashi candlesticks for better trend visualization.</t>
  </si>
  <si>
    <t>FC.NOAXIS01</t>
  </si>
  <si>
    <t>FC.NOAXIS02</t>
  </si>
  <si>
    <t>FT.JOY01</t>
  </si>
  <si>
    <t>FT.JOY02</t>
  </si>
  <si>
    <t>Line Styling</t>
  </si>
  <si>
    <t>Allows customization of line color and thickness.</t>
  </si>
  <si>
    <t>FT.LINE02</t>
  </si>
  <si>
    <t>Line Smoothing</t>
  </si>
  <si>
    <t>Supports smoothing lines for better visualization (stepped, linear, etc.)</t>
  </si>
  <si>
    <t>Allows customization of the line style and color.</t>
  </si>
  <si>
    <t>Single Data Label</t>
  </si>
  <si>
    <t>FT.SPARK04.1</t>
  </si>
  <si>
    <t>Chart Features</t>
  </si>
  <si>
    <t>Supports a wide range of chart features and customization options, like standard visuals.</t>
  </si>
  <si>
    <t>Switch On-the-Fly</t>
  </si>
  <si>
    <t>Allows users to switch between different visual types on-the-fly.</t>
  </si>
  <si>
    <t>FT.WORDS03</t>
  </si>
  <si>
    <t>Supports custom shapes for enclosing the word cloud.</t>
  </si>
  <si>
    <t>Column Grouping</t>
  </si>
  <si>
    <t>Allows users to group columns.</t>
  </si>
  <si>
    <t>Version 2.0</t>
  </si>
  <si>
    <t>Allows users to select multiple data points.</t>
  </si>
  <si>
    <t>Text Filter</t>
  </si>
  <si>
    <t>FC.FILTER01</t>
  </si>
  <si>
    <t>FC.FILTER02</t>
  </si>
  <si>
    <t>Default Selection</t>
  </si>
  <si>
    <t>Allows setting a default selection for filters.</t>
  </si>
  <si>
    <t>FC.FILTER03</t>
  </si>
  <si>
    <t>Select All</t>
  </si>
  <si>
    <t>Includes a 'Select All' option to quickly select all filter options.</t>
  </si>
  <si>
    <t>FC.FILTER04</t>
  </si>
  <si>
    <t>Clear Button</t>
  </si>
  <si>
    <t>Includes a clear button to reset the filter.</t>
  </si>
  <si>
    <t>FT.TFILTER01</t>
  </si>
  <si>
    <t>Text auto-complete</t>
  </si>
  <si>
    <t>Provides auto-complete suggestions as users type in the text filter.</t>
  </si>
  <si>
    <t>FT.TFILTER02</t>
  </si>
  <si>
    <t>Operators Support</t>
  </si>
  <si>
    <t>Supports operators such as 'AND', 'OR', 'NOT' for advanced text filtering.</t>
  </si>
  <si>
    <t>FT.TFILTER03</t>
  </si>
  <si>
    <t>Fuzzy Search</t>
  </si>
  <si>
    <t>Supports fuzzy search to find approximate matches for the entered text (e.g. 'appl?' for 'apple').</t>
  </si>
  <si>
    <t>FT.TFILTER04</t>
  </si>
  <si>
    <t>Logical Range</t>
  </si>
  <si>
    <t>Allows users to define logical ranges for text filtering (e.g. '&lt; 50').</t>
  </si>
  <si>
    <t>List Filter</t>
  </si>
  <si>
    <t>FT.LFILTER01</t>
  </si>
  <si>
    <t>Hierarchical Selection</t>
  </si>
  <si>
    <t>Supports hierarchical visualization of filter options with multiple fields.</t>
  </si>
  <si>
    <t>FT.LFILTER02</t>
  </si>
  <si>
    <t>Popup</t>
  </si>
  <si>
    <t>Allow to display filter options in a popup window for better visibility and selection.</t>
  </si>
  <si>
    <t>Date Filter</t>
  </si>
  <si>
    <t>FT.DFILTER01</t>
  </si>
  <si>
    <t>Today</t>
  </si>
  <si>
    <t>Includes a 'Today' button to quickly select the current date.</t>
  </si>
  <si>
    <t>FT.DFILTER02</t>
  </si>
  <si>
    <t>Custom Date Format</t>
  </si>
  <si>
    <t>Supports custom date formats and localization.</t>
  </si>
  <si>
    <t>FT.DFILTER03</t>
  </si>
  <si>
    <t>Partial Selection</t>
  </si>
  <si>
    <t>Allows users to select partial date ranges (e.g. only weekends) or exclude dates.</t>
  </si>
  <si>
    <t>FT.DFILTER04</t>
  </si>
  <si>
    <t>Multiple Intervals</t>
  </si>
  <si>
    <t>Allows users to select partial date ranges (e.g. only weekends).</t>
  </si>
  <si>
    <t>FT.DFILTER05</t>
  </si>
  <si>
    <t>FT.DFILTER06</t>
  </si>
  <si>
    <t>Groups Selection</t>
  </si>
  <si>
    <t>Allows users to group dates by year, month, day, etc., for easier selection.</t>
  </si>
  <si>
    <t>FT.DFILTER07</t>
  </si>
  <si>
    <t>Timeline Selection</t>
  </si>
  <si>
    <t>Supports selecting date ranges directly on a timeline for better precision.</t>
  </si>
  <si>
    <t>Control Filter</t>
  </si>
  <si>
    <t>JSON</t>
  </si>
  <si>
    <t>(Macros required)</t>
  </si>
  <si>
    <t>To Update a Rating</t>
  </si>
  <si>
    <t>To Create a new Rating</t>
  </si>
  <si>
    <t>* If you have disabled the macros, you have to skip the features not related to the visual.</t>
  </si>
  <si>
    <t>1. Paste an existing rating JSON in the "JSON" cell</t>
  </si>
  <si>
    <t>3. Copy the content of the "JSON"cell and send it via email</t>
  </si>
  <si>
    <t>2. Insert the Visual Id as found in the OKVIZ Index</t>
  </si>
  <si>
    <r>
      <t xml:space="preserve">3. Choose all the applicable Visual Types </t>
    </r>
    <r>
      <rPr>
        <b/>
        <sz val="12"/>
        <color theme="1"/>
        <rFont val="Aptos Narrow"/>
        <scheme val="minor"/>
      </rPr>
      <t>before the next step</t>
    </r>
  </si>
  <si>
    <t>5. Send this full file via email</t>
  </si>
  <si>
    <r>
      <t xml:space="preserve">4. Fill the  "Choose" column </t>
    </r>
    <r>
      <rPr>
        <b/>
        <sz val="12"/>
        <color theme="1"/>
        <rFont val="Aptos Narrow"/>
        <scheme val="minor"/>
      </rPr>
      <t>for each row</t>
    </r>
    <r>
      <rPr>
        <sz val="12"/>
        <color theme="1"/>
        <rFont val="Aptos Narrow"/>
        <scheme val="minor"/>
      </rPr>
      <t>*</t>
    </r>
  </si>
  <si>
    <t xml:space="preserve"> </t>
  </si>
  <si>
    <t>2. Change the  "Choose" column values in the Checklist</t>
  </si>
  <si>
    <t>1. Go to the Checklist sheet and insert the Visual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</si>
</sst>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0" tint="-0.499984740745262"/>
      <name val="Aptos Narrow"/>
      <family val="2"/>
      <scheme val="minor"/>
    </font>
    <font>
      <sz val="12"/>
      <color theme="1" tint="0.499984740745262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0"/>
      <color theme="1"/>
      <name val="Consolas"/>
      <family val="2"/>
    </font>
    <font>
      <sz val="10"/>
      <color theme="1"/>
      <name val="Aptos Narrow"/>
      <scheme val="minor"/>
    </font>
    <font>
      <sz val="10"/>
      <name val="Aptos Narrow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AEDFB"/>
        <bgColor rgb="FF000000"/>
      </patternFill>
    </fill>
    <fill>
      <patternFill patternType="solid">
        <fgColor rgb="FFCBEDFB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60CCF4"/>
      </top>
      <bottom/>
      <diagonal/>
    </border>
    <border>
      <left style="medium">
        <color rgb="FF0C9ED5"/>
      </left>
      <right style="medium">
        <color rgb="FF0C9ED5"/>
      </right>
      <top style="medium">
        <color rgb="FF0C9ED5"/>
      </top>
      <bottom/>
      <diagonal/>
    </border>
    <border>
      <left style="medium">
        <color rgb="FF0C9ED5"/>
      </left>
      <right style="medium">
        <color rgb="FF0C9ED5"/>
      </right>
      <top/>
      <bottom/>
      <diagonal/>
    </border>
    <border>
      <left style="medium">
        <color rgb="FF0C9ED5"/>
      </left>
      <right style="medium">
        <color rgb="FF0C9ED5"/>
      </right>
      <top/>
      <bottom style="medium">
        <color rgb="FF0C9ED5"/>
      </bottom>
      <diagonal/>
    </border>
    <border>
      <left/>
      <right/>
      <top style="thick">
        <color rgb="FF0C9ED5"/>
      </top>
      <bottom/>
      <diagonal/>
    </border>
    <border>
      <left/>
      <right/>
      <top/>
      <bottom style="thick">
        <color rgb="FF0C9ED5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2" borderId="2" xfId="0" applyFill="1" applyBorder="1"/>
    <xf numFmtId="0" fontId="0" fillId="2" borderId="3" xfId="0" applyFill="1" applyBorder="1"/>
    <xf numFmtId="0" fontId="2" fillId="3" borderId="4" xfId="0" applyFont="1" applyFill="1" applyBorder="1"/>
    <xf numFmtId="0" fontId="0" fillId="0" borderId="5" xfId="0" applyBorder="1"/>
    <xf numFmtId="0" fontId="3" fillId="0" borderId="5" xfId="0" applyFont="1" applyBorder="1"/>
    <xf numFmtId="0" fontId="0" fillId="0" borderId="0" xfId="0" applyAlignment="1">
      <alignment vertical="center"/>
    </xf>
    <xf numFmtId="0" fontId="2" fillId="3" borderId="3" xfId="0" applyFont="1" applyFill="1" applyBorder="1"/>
    <xf numFmtId="0" fontId="0" fillId="0" borderId="6" xfId="0" applyBorder="1"/>
    <xf numFmtId="0" fontId="10" fillId="0" borderId="0" xfId="0" applyFont="1"/>
    <xf numFmtId="0" fontId="11" fillId="0" borderId="0" xfId="0" applyFont="1" applyAlignment="1">
      <alignment wrapText="1"/>
    </xf>
    <xf numFmtId="0" fontId="8" fillId="4" borderId="1" xfId="0" applyFont="1" applyFill="1" applyBorder="1"/>
    <xf numFmtId="0" fontId="0" fillId="4" borderId="0" xfId="0" applyFill="1"/>
    <xf numFmtId="0" fontId="0" fillId="5" borderId="0" xfId="0" applyFill="1"/>
    <xf numFmtId="0" fontId="9" fillId="4" borderId="2" xfId="0" applyFont="1" applyFill="1" applyBorder="1" applyAlignment="1">
      <alignment vertical="top" wrapText="1"/>
    </xf>
    <xf numFmtId="0" fontId="9" fillId="4" borderId="3" xfId="0" applyFont="1" applyFill="1" applyBorder="1" applyAlignment="1">
      <alignment vertical="top" wrapText="1"/>
    </xf>
    <xf numFmtId="0" fontId="9" fillId="4" borderId="4" xfId="0" applyFont="1" applyFill="1" applyBorder="1" applyAlignment="1">
      <alignment vertical="top" wrapText="1"/>
    </xf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BEDFB"/>
      <color rgb="FF0C9ED5"/>
      <color rgb="FF0083FB"/>
      <color rgb="FFFFC7C8"/>
      <color rgb="FF60CC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CD9851-E293-E646-AC9E-D3102805ED39}" name="Checklist" displayName="Checklist" ref="D1:P725" totalsRowShown="0" headerRowDxfId="2">
  <autoFilter ref="D1:P725" xr:uid="{48CD9851-E293-E646-AC9E-D3102805ED39}">
    <filterColumn colId="11">
      <filters>
        <filter val="FALSE"/>
      </filters>
    </filterColumn>
    <filterColumn colId="12">
      <filters>
        <filter val="TRUE"/>
      </filters>
    </filterColumn>
  </autoFilter>
  <tableColumns count="13">
    <tableColumn id="1" xr3:uid="{51E15685-E5D6-6A47-994A-B493BF217123}" name="Area"/>
    <tableColumn id="2" xr3:uid="{E3E2F4B8-FDB7-7D48-82AD-3DD2D5E3EAD8}" name="Type"/>
    <tableColumn id="3" xr3:uid="{85AFE0B7-FB85-F945-86E2-2D8FDB724521}" name="Id"/>
    <tableColumn id="4" xr3:uid="{A4975C7B-01C9-D14E-82F9-0A9BB6F61925}" name="Name"/>
    <tableColumn id="5" xr3:uid="{87F1E43C-0681-7946-8482-FBF1569D1315}" name="Description"/>
    <tableColumn id="6" xr3:uid="{CE4CF389-8750-104C-A3AD-2AFD0FEA12A2}" name="Option1"/>
    <tableColumn id="7" xr3:uid="{F03BD352-174D-054A-B2DA-A021AFB3E337}" name="Option2"/>
    <tableColumn id="8" xr3:uid="{3F016092-9B5D-DB49-B69C-0B24E4C8A2D7}" name="Option3"/>
    <tableColumn id="9" xr3:uid="{163FEC54-28B0-4B40-890D-FC3124D27D8C}" name="Option4"/>
    <tableColumn id="10" xr3:uid="{E4F91CA6-ED25-8547-9E10-0592BCFF4A64}" name="Option5"/>
    <tableColumn id="11" xr3:uid="{95B1939B-317F-194F-B8DB-76323A011E86}" name="Choose"/>
    <tableColumn id="16" xr3:uid="{4557ECE2-ABE0-7840-86F8-E9F3168D18F7}" name="Duplicate" dataDxfId="1">
      <calculatedColumnFormula>IF(COUNTIFS($F$2:F2, F2, $P$2:P2, TRUE)&gt;1,TRUE,FALSE)</calculatedColumnFormula>
    </tableColumn>
    <tableColumn id="12" xr3:uid="{88F9A6C7-45B5-B64D-BDBD-1F461E60B30E}" name="Visible" dataDxfId="0">
      <calculatedColumnFormula>OR(ISNUMBER(MATCH(Checklist[[#This Row],[Type]], $B$3:$B$22, 0)), Checklist[[#This Row],[Type]] = "*")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C0CFF-B941-304D-939D-C975A8B85BDD}">
  <sheetPr codeName="Sheet3"/>
  <dimension ref="A1:D21"/>
  <sheetViews>
    <sheetView zoomScale="150" zoomScaleNormal="150" workbookViewId="0">
      <selection activeCell="D7" sqref="D7:D21"/>
    </sheetView>
  </sheetViews>
  <sheetFormatPr baseColWidth="10" defaultRowHeight="16" x14ac:dyDescent="0.2"/>
  <cols>
    <col min="1" max="1" width="20.83203125" customWidth="1"/>
    <col min="2" max="2" width="49.6640625" customWidth="1"/>
    <col min="3" max="3" width="5.83203125" customWidth="1"/>
    <col min="4" max="4" width="52.83203125" customWidth="1"/>
  </cols>
  <sheetData>
    <row r="1" spans="1:4" ht="32" customHeight="1" x14ac:dyDescent="0.2">
      <c r="A1" t="e" vm="1">
        <v>#VALUE!</v>
      </c>
    </row>
    <row r="2" spans="1:4" x14ac:dyDescent="0.2">
      <c r="A2" s="1" t="s">
        <v>348</v>
      </c>
      <c r="B2" s="1"/>
    </row>
    <row r="3" spans="1:4" x14ac:dyDescent="0.2">
      <c r="A3" s="4" t="s">
        <v>872</v>
      </c>
      <c r="B3" s="4"/>
    </row>
    <row r="6" spans="1:4" ht="17" thickBot="1" x14ac:dyDescent="0.25">
      <c r="A6" s="1" t="s">
        <v>347</v>
      </c>
      <c r="B6" s="1"/>
      <c r="D6" s="1" t="s">
        <v>925</v>
      </c>
    </row>
    <row r="7" spans="1:4" x14ac:dyDescent="0.2">
      <c r="A7" s="1" t="s">
        <v>927</v>
      </c>
      <c r="B7" s="1"/>
      <c r="D7" s="19"/>
    </row>
    <row r="8" spans="1:4" x14ac:dyDescent="0.2">
      <c r="A8" s="14" t="s">
        <v>926</v>
      </c>
      <c r="B8" s="3" t="s">
        <v>930</v>
      </c>
      <c r="D8" s="20"/>
    </row>
    <row r="9" spans="1:4" x14ac:dyDescent="0.2">
      <c r="B9" t="s">
        <v>937</v>
      </c>
      <c r="D9" s="20"/>
    </row>
    <row r="10" spans="1:4" x14ac:dyDescent="0.2">
      <c r="B10" t="s">
        <v>931</v>
      </c>
      <c r="D10" s="20"/>
    </row>
    <row r="11" spans="1:4" ht="16" customHeight="1" x14ac:dyDescent="0.2">
      <c r="D11" s="20"/>
    </row>
    <row r="12" spans="1:4" x14ac:dyDescent="0.2">
      <c r="A12" s="1" t="s">
        <v>928</v>
      </c>
      <c r="B12" s="1"/>
      <c r="D12" s="20"/>
    </row>
    <row r="13" spans="1:4" x14ac:dyDescent="0.2">
      <c r="B13" t="s">
        <v>938</v>
      </c>
      <c r="D13" s="20"/>
    </row>
    <row r="14" spans="1:4" x14ac:dyDescent="0.2">
      <c r="B14" t="s">
        <v>932</v>
      </c>
      <c r="D14" s="20"/>
    </row>
    <row r="15" spans="1:4" x14ac:dyDescent="0.2">
      <c r="A15" s="3"/>
      <c r="B15" s="3" t="s">
        <v>933</v>
      </c>
      <c r="D15" s="20"/>
    </row>
    <row r="16" spans="1:4" x14ac:dyDescent="0.2">
      <c r="B16" t="s">
        <v>935</v>
      </c>
      <c r="D16" s="20"/>
    </row>
    <row r="17" spans="1:4" x14ac:dyDescent="0.2">
      <c r="B17" t="s">
        <v>934</v>
      </c>
      <c r="D17" s="20"/>
    </row>
    <row r="18" spans="1:4" x14ac:dyDescent="0.2">
      <c r="D18" s="20"/>
    </row>
    <row r="19" spans="1:4" ht="41" customHeight="1" x14ac:dyDescent="0.2">
      <c r="B19" s="15" t="s">
        <v>929</v>
      </c>
      <c r="D19" s="20"/>
    </row>
    <row r="20" spans="1:4" x14ac:dyDescent="0.2">
      <c r="A20" s="5"/>
      <c r="B20" s="5"/>
      <c r="D20" s="20"/>
    </row>
    <row r="21" spans="1:4" ht="17" thickBot="1" x14ac:dyDescent="0.25">
      <c r="D21" s="21"/>
    </row>
  </sheetData>
  <mergeCells count="1">
    <mergeCell ref="D7:D21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E78F-582E-284F-BC1A-47F40BD99BCE}">
  <sheetPr codeName="Sheet1"/>
  <dimension ref="A1:P725"/>
  <sheetViews>
    <sheetView tabSelected="1" zoomScale="130" zoomScaleNormal="130" workbookViewId="0">
      <selection activeCell="B1" sqref="B1"/>
    </sheetView>
  </sheetViews>
  <sheetFormatPr baseColWidth="10" defaultRowHeight="16" x14ac:dyDescent="0.2"/>
  <cols>
    <col min="1" max="1" width="15.5" customWidth="1"/>
    <col min="2" max="2" width="20" customWidth="1"/>
    <col min="3" max="3" width="4.1640625" customWidth="1"/>
    <col min="4" max="4" width="13.33203125" customWidth="1"/>
    <col min="5" max="5" width="20.6640625" customWidth="1"/>
    <col min="6" max="6" width="16.5" customWidth="1"/>
    <col min="7" max="7" width="39.83203125" customWidth="1"/>
    <col min="8" max="8" width="101.83203125" customWidth="1"/>
    <col min="9" max="13" width="6.6640625" hidden="1" customWidth="1"/>
    <col min="14" max="14" width="13" customWidth="1"/>
    <col min="15" max="16" width="10.83203125" hidden="1" customWidth="1"/>
    <col min="17" max="17" width="4" customWidth="1"/>
  </cols>
  <sheetData>
    <row r="1" spans="1:16" ht="22" x14ac:dyDescent="0.3">
      <c r="A1" s="2" t="s">
        <v>344</v>
      </c>
      <c r="B1" s="16"/>
      <c r="C1" s="18" t="s">
        <v>936</v>
      </c>
      <c r="D1" s="11" t="s">
        <v>786</v>
      </c>
      <c r="E1" s="11" t="s">
        <v>359</v>
      </c>
      <c r="F1" s="11" t="s">
        <v>0</v>
      </c>
      <c r="G1" s="11" t="s">
        <v>1</v>
      </c>
      <c r="H1" s="11" t="s">
        <v>2</v>
      </c>
      <c r="I1" s="11" t="s">
        <v>3</v>
      </c>
      <c r="J1" s="11" t="s">
        <v>4</v>
      </c>
      <c r="K1" s="11" t="s">
        <v>5</v>
      </c>
      <c r="L1" s="11" t="s">
        <v>6</v>
      </c>
      <c r="M1" s="11" t="s">
        <v>7</v>
      </c>
      <c r="N1" s="11" t="s">
        <v>346</v>
      </c>
      <c r="O1" s="11" t="s">
        <v>787</v>
      </c>
      <c r="P1" s="11" t="s">
        <v>345</v>
      </c>
    </row>
    <row r="2" spans="1:16" ht="17" thickBot="1" x14ac:dyDescent="0.25">
      <c r="A2" s="1" t="s">
        <v>349</v>
      </c>
      <c r="B2" s="17"/>
      <c r="C2" s="18" t="s">
        <v>936</v>
      </c>
      <c r="D2" s="1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O2" t="b">
        <f>IF(COUNTIFS($F$2:F2, F2, $P$2:P2, TRUE)&gt;1,TRUE,FALSE)</f>
        <v>0</v>
      </c>
      <c r="P2" t="b">
        <f>OR(ISNUMBER(MATCH(Checklist[[#This Row],[Type]], $B$3:$B$22, 0)), Checklist[[#This Row],[Type]] = "*")</f>
        <v>1</v>
      </c>
    </row>
    <row r="3" spans="1:16" x14ac:dyDescent="0.2">
      <c r="A3" s="1" t="s">
        <v>351</v>
      </c>
      <c r="B3" s="6"/>
      <c r="D3" t="s">
        <v>8</v>
      </c>
      <c r="E3" t="s">
        <v>9</v>
      </c>
      <c r="F3" t="s">
        <v>15</v>
      </c>
      <c r="G3" t="s">
        <v>16</v>
      </c>
      <c r="H3" t="s">
        <v>17</v>
      </c>
      <c r="I3" t="s">
        <v>13</v>
      </c>
      <c r="J3" t="s">
        <v>14</v>
      </c>
      <c r="O3" t="b">
        <f>IF(COUNTIFS($F$2:F3, F3, $P$2:P3, TRUE)&gt;1,TRUE,FALSE)</f>
        <v>0</v>
      </c>
      <c r="P3" t="b">
        <f>OR(ISNUMBER(MATCH(Checklist[[#This Row],[Type]], $B$3:$B$22, 0)), Checklist[[#This Row],[Type]] = "*")</f>
        <v>1</v>
      </c>
    </row>
    <row r="4" spans="1:16" x14ac:dyDescent="0.2">
      <c r="A4" s="1"/>
      <c r="B4" s="7"/>
      <c r="D4" t="s">
        <v>8</v>
      </c>
      <c r="E4" t="s">
        <v>9</v>
      </c>
      <c r="F4" t="s">
        <v>18</v>
      </c>
      <c r="G4" t="s">
        <v>19</v>
      </c>
      <c r="H4" t="s">
        <v>20</v>
      </c>
      <c r="I4" t="s">
        <v>13</v>
      </c>
      <c r="J4" t="s">
        <v>14</v>
      </c>
      <c r="O4" t="b">
        <f>IF(COUNTIFS($F$2:F4, F4, $P$2:P4, TRUE)&gt;1,TRUE,FALSE)</f>
        <v>0</v>
      </c>
      <c r="P4" t="b">
        <f>OR(ISNUMBER(MATCH(Checklist[[#This Row],[Type]], $B$3:$B$22, 0)), Checklist[[#This Row],[Type]] = "*")</f>
        <v>1</v>
      </c>
    </row>
    <row r="5" spans="1:16" x14ac:dyDescent="0.2">
      <c r="B5" s="7"/>
      <c r="D5" t="s">
        <v>8</v>
      </c>
      <c r="E5" t="s">
        <v>9</v>
      </c>
      <c r="F5" t="s">
        <v>21</v>
      </c>
      <c r="G5" t="s">
        <v>360</v>
      </c>
      <c r="H5" t="s">
        <v>22</v>
      </c>
      <c r="I5" t="s">
        <v>13</v>
      </c>
      <c r="J5" t="s">
        <v>14</v>
      </c>
      <c r="O5" t="b">
        <f>IF(COUNTIFS($F$2:F5, F5, $P$2:P5, TRUE)&gt;1,TRUE,FALSE)</f>
        <v>0</v>
      </c>
      <c r="P5" t="b">
        <f>OR(ISNUMBER(MATCH(Checklist[[#This Row],[Type]], $B$3:$B$22, 0)), Checklist[[#This Row],[Type]] = "*")</f>
        <v>1</v>
      </c>
    </row>
    <row r="6" spans="1:16" x14ac:dyDescent="0.2">
      <c r="B6" s="7"/>
      <c r="D6" t="s">
        <v>8</v>
      </c>
      <c r="E6" t="s">
        <v>9</v>
      </c>
      <c r="F6" t="s">
        <v>361</v>
      </c>
      <c r="G6" t="s">
        <v>362</v>
      </c>
      <c r="H6" t="s">
        <v>873</v>
      </c>
      <c r="I6" t="s">
        <v>13</v>
      </c>
      <c r="J6" t="s">
        <v>14</v>
      </c>
      <c r="O6" t="b">
        <f>IF(COUNTIFS($F$2:F6, F6, $P$2:P6, TRUE)&gt;1,TRUE,FALSE)</f>
        <v>0</v>
      </c>
      <c r="P6" t="b">
        <f>OR(ISNUMBER(MATCH(Checklist[[#This Row],[Type]], $B$3:$B$22, 0)), Checklist[[#This Row],[Type]] = "*")</f>
        <v>1</v>
      </c>
    </row>
    <row r="7" spans="1:16" x14ac:dyDescent="0.2">
      <c r="B7" s="7"/>
      <c r="D7" t="s">
        <v>8</v>
      </c>
      <c r="E7" t="s">
        <v>9</v>
      </c>
      <c r="F7" t="s">
        <v>23</v>
      </c>
      <c r="G7" t="s">
        <v>24</v>
      </c>
      <c r="H7" t="s">
        <v>25</v>
      </c>
      <c r="I7" t="s">
        <v>26</v>
      </c>
      <c r="J7" t="s">
        <v>363</v>
      </c>
      <c r="O7" t="b">
        <f>IF(COUNTIFS($F$2:F7, F7, $P$2:P7, TRUE)&gt;1,TRUE,FALSE)</f>
        <v>0</v>
      </c>
      <c r="P7" t="b">
        <f>OR(ISNUMBER(MATCH(Checklist[[#This Row],[Type]], $B$3:$B$22, 0)), Checklist[[#This Row],[Type]] = "*")</f>
        <v>1</v>
      </c>
    </row>
    <row r="8" spans="1:16" x14ac:dyDescent="0.2">
      <c r="B8" s="7"/>
      <c r="D8" t="s">
        <v>8</v>
      </c>
      <c r="E8" t="s">
        <v>9</v>
      </c>
      <c r="F8" t="s">
        <v>27</v>
      </c>
      <c r="G8" t="s">
        <v>28</v>
      </c>
      <c r="H8" t="s">
        <v>29</v>
      </c>
      <c r="I8" t="s">
        <v>13</v>
      </c>
      <c r="J8" t="s">
        <v>14</v>
      </c>
      <c r="O8" t="b">
        <f>IF(COUNTIFS($F$2:F8, F8, $P$2:P8, TRUE)&gt;1,TRUE,FALSE)</f>
        <v>0</v>
      </c>
      <c r="P8" t="b">
        <f>OR(ISNUMBER(MATCH(Checklist[[#This Row],[Type]], $B$3:$B$22, 0)), Checklist[[#This Row],[Type]] = "*")</f>
        <v>1</v>
      </c>
    </row>
    <row r="9" spans="1:16" x14ac:dyDescent="0.2">
      <c r="B9" s="7"/>
      <c r="D9" t="s">
        <v>8</v>
      </c>
      <c r="E9" t="s">
        <v>9</v>
      </c>
      <c r="F9" t="s">
        <v>364</v>
      </c>
      <c r="G9" t="s">
        <v>30</v>
      </c>
      <c r="H9" t="s">
        <v>31</v>
      </c>
      <c r="I9" t="s">
        <v>13</v>
      </c>
      <c r="J9" t="s">
        <v>14</v>
      </c>
      <c r="O9" t="b">
        <f>IF(COUNTIFS($F$2:F9, F9, $P$2:P9, TRUE)&gt;1,TRUE,FALSE)</f>
        <v>0</v>
      </c>
      <c r="P9" t="b">
        <f>OR(ISNUMBER(MATCH(Checklist[[#This Row],[Type]], $B$3:$B$22, 0)), Checklist[[#This Row],[Type]] = "*")</f>
        <v>1</v>
      </c>
    </row>
    <row r="10" spans="1:16" x14ac:dyDescent="0.2">
      <c r="B10" s="12"/>
      <c r="D10" t="s">
        <v>8</v>
      </c>
      <c r="E10" t="s">
        <v>9</v>
      </c>
      <c r="F10" t="s">
        <v>365</v>
      </c>
      <c r="G10" t="s">
        <v>32</v>
      </c>
      <c r="H10" t="s">
        <v>33</v>
      </c>
      <c r="I10" t="s">
        <v>13</v>
      </c>
      <c r="J10" t="s">
        <v>14</v>
      </c>
      <c r="O10" t="b">
        <f>IF(COUNTIFS($F$2:F10, F10, $P$2:P10, TRUE)&gt;1,TRUE,FALSE)</f>
        <v>0</v>
      </c>
      <c r="P10" t="b">
        <f>OR(ISNUMBER(MATCH(Checklist[[#This Row],[Type]], $B$3:$B$22, 0)), Checklist[[#This Row],[Type]] = "*")</f>
        <v>1</v>
      </c>
    </row>
    <row r="11" spans="1:16" x14ac:dyDescent="0.2">
      <c r="B11" s="12"/>
      <c r="D11" t="s">
        <v>8</v>
      </c>
      <c r="E11" t="s">
        <v>9</v>
      </c>
      <c r="F11" t="s">
        <v>34</v>
      </c>
      <c r="G11" t="s">
        <v>35</v>
      </c>
      <c r="H11" t="s">
        <v>36</v>
      </c>
      <c r="I11" t="s">
        <v>13</v>
      </c>
      <c r="J11" t="s">
        <v>14</v>
      </c>
      <c r="O11" t="b">
        <f>IF(COUNTIFS($F$2:F11, F11, $P$2:P11, TRUE)&gt;1,TRUE,FALSE)</f>
        <v>0</v>
      </c>
      <c r="P11" t="b">
        <f>OR(ISNUMBER(MATCH(Checklist[[#This Row],[Type]], $B$3:$B$22, 0)), Checklist[[#This Row],[Type]] = "*")</f>
        <v>1</v>
      </c>
    </row>
    <row r="12" spans="1:16" x14ac:dyDescent="0.2">
      <c r="B12" s="12"/>
      <c r="D12" t="s">
        <v>8</v>
      </c>
      <c r="E12" t="s">
        <v>9</v>
      </c>
      <c r="F12" t="s">
        <v>37</v>
      </c>
      <c r="G12" t="s">
        <v>38</v>
      </c>
      <c r="H12" t="s">
        <v>39</v>
      </c>
      <c r="I12" t="s">
        <v>13</v>
      </c>
      <c r="J12" t="s">
        <v>14</v>
      </c>
      <c r="O12" t="b">
        <f>IF(COUNTIFS($F$2:F12, F12, $P$2:P12, TRUE)&gt;1,TRUE,FALSE)</f>
        <v>0</v>
      </c>
      <c r="P12" t="b">
        <f>OR(ISNUMBER(MATCH(Checklist[[#This Row],[Type]], $B$3:$B$22, 0)), Checklist[[#This Row],[Type]] = "*")</f>
        <v>1</v>
      </c>
    </row>
    <row r="13" spans="1:16" x14ac:dyDescent="0.2">
      <c r="B13" s="12"/>
      <c r="D13" t="s">
        <v>8</v>
      </c>
      <c r="E13" t="s">
        <v>9</v>
      </c>
      <c r="F13" t="s">
        <v>40</v>
      </c>
      <c r="G13" t="s">
        <v>41</v>
      </c>
      <c r="H13" t="s">
        <v>788</v>
      </c>
      <c r="I13" t="s">
        <v>13</v>
      </c>
      <c r="J13" t="s">
        <v>14</v>
      </c>
      <c r="O13" t="b">
        <f>IF(COUNTIFS($F$2:F13, F13, $P$2:P13, TRUE)&gt;1,TRUE,FALSE)</f>
        <v>0</v>
      </c>
      <c r="P13" t="b">
        <f>OR(ISNUMBER(MATCH(Checklist[[#This Row],[Type]], $B$3:$B$22, 0)), Checklist[[#This Row],[Type]] = "*")</f>
        <v>1</v>
      </c>
    </row>
    <row r="14" spans="1:16" x14ac:dyDescent="0.2">
      <c r="B14" s="12"/>
      <c r="D14" t="s">
        <v>8</v>
      </c>
      <c r="E14" t="s">
        <v>9</v>
      </c>
      <c r="F14" t="s">
        <v>42</v>
      </c>
      <c r="G14" t="s">
        <v>43</v>
      </c>
      <c r="H14" t="s">
        <v>44</v>
      </c>
      <c r="I14" t="s">
        <v>13</v>
      </c>
      <c r="J14" t="s">
        <v>14</v>
      </c>
      <c r="O14" t="b">
        <f>IF(COUNTIFS($F$2:F14, F14, $P$2:P14, TRUE)&gt;1,TRUE,FALSE)</f>
        <v>0</v>
      </c>
      <c r="P14" t="b">
        <f>OR(ISNUMBER(MATCH(Checklist[[#This Row],[Type]], $B$3:$B$22, 0)), Checklist[[#This Row],[Type]] = "*")</f>
        <v>1</v>
      </c>
    </row>
    <row r="15" spans="1:16" x14ac:dyDescent="0.2">
      <c r="B15" s="12"/>
      <c r="D15" t="s">
        <v>8</v>
      </c>
      <c r="E15" t="s">
        <v>9</v>
      </c>
      <c r="F15" t="s">
        <v>45</v>
      </c>
      <c r="G15" t="s">
        <v>46</v>
      </c>
      <c r="H15" t="s">
        <v>47</v>
      </c>
      <c r="I15" t="s">
        <v>13</v>
      </c>
      <c r="J15" t="s">
        <v>243</v>
      </c>
      <c r="K15" t="s">
        <v>14</v>
      </c>
      <c r="O15" t="b">
        <f>IF(COUNTIFS($F$2:F15, F15, $P$2:P15, TRUE)&gt;1,TRUE,FALSE)</f>
        <v>0</v>
      </c>
      <c r="P15" t="b">
        <f>OR(ISNUMBER(MATCH(Checklist[[#This Row],[Type]], $B$3:$B$22, 0)), Checklist[[#This Row],[Type]] = "*")</f>
        <v>1</v>
      </c>
    </row>
    <row r="16" spans="1:16" x14ac:dyDescent="0.2">
      <c r="B16" s="12"/>
      <c r="D16" t="s">
        <v>8</v>
      </c>
      <c r="E16" t="s">
        <v>9</v>
      </c>
      <c r="F16" t="s">
        <v>48</v>
      </c>
      <c r="G16" t="s">
        <v>49</v>
      </c>
      <c r="H16" t="s">
        <v>50</v>
      </c>
      <c r="I16" t="s">
        <v>13</v>
      </c>
      <c r="J16" t="s">
        <v>14</v>
      </c>
      <c r="O16" t="b">
        <f>IF(COUNTIFS($F$2:F16, F16, $P$2:P16, TRUE)&gt;1,TRUE,FALSE)</f>
        <v>0</v>
      </c>
      <c r="P16" t="b">
        <f>OR(ISNUMBER(MATCH(Checklist[[#This Row],[Type]], $B$3:$B$22, 0)), Checklist[[#This Row],[Type]] = "*")</f>
        <v>1</v>
      </c>
    </row>
    <row r="17" spans="2:16" x14ac:dyDescent="0.2">
      <c r="B17" s="12"/>
      <c r="D17" t="s">
        <v>8</v>
      </c>
      <c r="E17" t="s">
        <v>9</v>
      </c>
      <c r="F17" t="s">
        <v>366</v>
      </c>
      <c r="G17" t="s">
        <v>367</v>
      </c>
      <c r="H17" t="s">
        <v>368</v>
      </c>
      <c r="I17" t="s">
        <v>13</v>
      </c>
      <c r="J17" t="s">
        <v>14</v>
      </c>
      <c r="O17" t="b">
        <f>IF(COUNTIFS($F$2:F17, F17, $P$2:P17, TRUE)&gt;1,TRUE,FALSE)</f>
        <v>0</v>
      </c>
      <c r="P17" t="b">
        <f>OR(ISNUMBER(MATCH(Checklist[[#This Row],[Type]], $B$3:$B$22, 0)), Checklist[[#This Row],[Type]] = "*")</f>
        <v>1</v>
      </c>
    </row>
    <row r="18" spans="2:16" x14ac:dyDescent="0.2">
      <c r="B18" s="12"/>
      <c r="D18" t="s">
        <v>8</v>
      </c>
      <c r="E18" t="s">
        <v>9</v>
      </c>
      <c r="F18" t="s">
        <v>369</v>
      </c>
      <c r="G18" t="s">
        <v>370</v>
      </c>
      <c r="H18" t="s">
        <v>371</v>
      </c>
      <c r="I18" t="s">
        <v>13</v>
      </c>
      <c r="J18" t="s">
        <v>14</v>
      </c>
      <c r="O18" t="b">
        <f>IF(COUNTIFS($F$2:F18, F18, $P$2:P18, TRUE)&gt;1,TRUE,FALSE)</f>
        <v>0</v>
      </c>
      <c r="P18" t="b">
        <f>OR(ISNUMBER(MATCH(Checklist[[#This Row],[Type]], $B$3:$B$22, 0)), Checklist[[#This Row],[Type]] = "*")</f>
        <v>1</v>
      </c>
    </row>
    <row r="19" spans="2:16" x14ac:dyDescent="0.2">
      <c r="B19" s="12"/>
      <c r="D19" t="s">
        <v>8</v>
      </c>
      <c r="E19" t="s">
        <v>9</v>
      </c>
      <c r="F19" t="s">
        <v>372</v>
      </c>
      <c r="G19" t="s">
        <v>373</v>
      </c>
      <c r="H19" t="s">
        <v>374</v>
      </c>
      <c r="I19" t="s">
        <v>13</v>
      </c>
      <c r="J19" t="s">
        <v>14</v>
      </c>
      <c r="O19" t="b">
        <f>IF(COUNTIFS($F$2:F19, F19, $P$2:P19, TRUE)&gt;1,TRUE,FALSE)</f>
        <v>0</v>
      </c>
      <c r="P19" t="b">
        <f>OR(ISNUMBER(MATCH(Checklist[[#This Row],[Type]], $B$3:$B$22, 0)), Checklist[[#This Row],[Type]] = "*")</f>
        <v>1</v>
      </c>
    </row>
    <row r="20" spans="2:16" x14ac:dyDescent="0.2">
      <c r="B20" s="12"/>
      <c r="D20" t="s">
        <v>8</v>
      </c>
      <c r="E20" t="s">
        <v>9</v>
      </c>
      <c r="F20" t="s">
        <v>375</v>
      </c>
      <c r="G20" t="s">
        <v>180</v>
      </c>
      <c r="H20" t="s">
        <v>376</v>
      </c>
      <c r="I20" t="s">
        <v>13</v>
      </c>
      <c r="J20" t="s">
        <v>14</v>
      </c>
      <c r="O20" t="b">
        <f>IF(COUNTIFS($F$2:F20, F20, $P$2:P20, TRUE)&gt;1,TRUE,FALSE)</f>
        <v>0</v>
      </c>
      <c r="P20" t="b">
        <f>OR(ISNUMBER(MATCH(Checklist[[#This Row],[Type]], $B$3:$B$22, 0)), Checklist[[#This Row],[Type]] = "*")</f>
        <v>1</v>
      </c>
    </row>
    <row r="21" spans="2:16" x14ac:dyDescent="0.2">
      <c r="B21" s="12"/>
      <c r="D21" t="s">
        <v>8</v>
      </c>
      <c r="E21" t="s">
        <v>9</v>
      </c>
      <c r="F21" t="s">
        <v>377</v>
      </c>
      <c r="G21" t="s">
        <v>148</v>
      </c>
      <c r="H21" t="s">
        <v>378</v>
      </c>
      <c r="I21" t="s">
        <v>13</v>
      </c>
      <c r="J21" t="s">
        <v>14</v>
      </c>
      <c r="O21" t="b">
        <f>IF(COUNTIFS($F$2:F21, F21, $P$2:P21, TRUE)&gt;1,TRUE,FALSE)</f>
        <v>0</v>
      </c>
      <c r="P21" t="b">
        <f>OR(ISNUMBER(MATCH(Checklist[[#This Row],[Type]], $B$3:$B$22, 0)), Checklist[[#This Row],[Type]] = "*")</f>
        <v>1</v>
      </c>
    </row>
    <row r="22" spans="2:16" ht="17" thickBot="1" x14ac:dyDescent="0.25">
      <c r="B22" s="8"/>
      <c r="D22" s="13" t="s">
        <v>8</v>
      </c>
      <c r="E22" s="13" t="s">
        <v>9</v>
      </c>
      <c r="F22" s="13" t="s">
        <v>379</v>
      </c>
      <c r="G22" s="13" t="s">
        <v>380</v>
      </c>
      <c r="H22" s="13" t="s">
        <v>381</v>
      </c>
      <c r="I22" s="13" t="s">
        <v>13</v>
      </c>
      <c r="J22" s="13" t="s">
        <v>14</v>
      </c>
      <c r="K22" s="13"/>
      <c r="L22" s="13"/>
      <c r="M22" s="13"/>
      <c r="N22" s="13"/>
      <c r="O22" s="13" t="b">
        <f>IF(COUNTIFS($F$2:F22, F22, $P$2:P22, TRUE)&gt;1,TRUE,FALSE)</f>
        <v>0</v>
      </c>
      <c r="P22" s="13" t="b">
        <f>OR(ISNUMBER(MATCH(Checklist[[#This Row],[Type]], $B$3:$B$22, 0)), Checklist[[#This Row],[Type]] = "*")</f>
        <v>1</v>
      </c>
    </row>
    <row r="23" spans="2:16" x14ac:dyDescent="0.2">
      <c r="D23" t="s">
        <v>8</v>
      </c>
      <c r="E23" t="s">
        <v>51</v>
      </c>
      <c r="F23" t="s">
        <v>382</v>
      </c>
      <c r="G23" t="s">
        <v>86</v>
      </c>
      <c r="H23" t="s">
        <v>383</v>
      </c>
      <c r="I23" t="s">
        <v>13</v>
      </c>
      <c r="J23" t="s">
        <v>14</v>
      </c>
      <c r="O23" t="b">
        <f>IF(COUNTIFS($F$2:F23, F23, $P$2:P23, TRUE)&gt;1,TRUE,FALSE)</f>
        <v>0</v>
      </c>
      <c r="P23" t="b">
        <f>OR(ISNUMBER(MATCH(Checklist[[#This Row],[Type]], $B$3:$B$22, 0)), Checklist[[#This Row],[Type]] = "*")</f>
        <v>0</v>
      </c>
    </row>
    <row r="24" spans="2:16" x14ac:dyDescent="0.2">
      <c r="D24" t="s">
        <v>8</v>
      </c>
      <c r="E24" t="s">
        <v>51</v>
      </c>
      <c r="F24" t="s">
        <v>384</v>
      </c>
      <c r="G24" t="s">
        <v>385</v>
      </c>
      <c r="H24" t="s">
        <v>386</v>
      </c>
      <c r="I24" t="s">
        <v>13</v>
      </c>
      <c r="J24" t="s">
        <v>14</v>
      </c>
      <c r="O24" t="b">
        <f>IF(COUNTIFS($F$2:F24, F24, $P$2:P24, TRUE)&gt;1,TRUE,FALSE)</f>
        <v>0</v>
      </c>
      <c r="P24" t="b">
        <f>OR(ISNUMBER(MATCH(Checklist[[#This Row],[Type]], $B$3:$B$22, 0)), Checklist[[#This Row],[Type]] = "*")</f>
        <v>0</v>
      </c>
    </row>
    <row r="25" spans="2:16" x14ac:dyDescent="0.2">
      <c r="D25" t="s">
        <v>8</v>
      </c>
      <c r="E25" t="s">
        <v>51</v>
      </c>
      <c r="F25" t="s">
        <v>387</v>
      </c>
      <c r="G25" t="s">
        <v>388</v>
      </c>
      <c r="H25" t="s">
        <v>389</v>
      </c>
      <c r="I25" t="s">
        <v>13</v>
      </c>
      <c r="J25" t="s">
        <v>14</v>
      </c>
      <c r="O25" t="b">
        <f>IF(COUNTIFS($F$2:F25, F25, $P$2:P25, TRUE)&gt;1,TRUE,FALSE)</f>
        <v>0</v>
      </c>
      <c r="P25" t="b">
        <f>OR(ISNUMBER(MATCH(Checklist[[#This Row],[Type]], $B$3:$B$22, 0)), Checklist[[#This Row],[Type]] = "*")</f>
        <v>0</v>
      </c>
    </row>
    <row r="26" spans="2:16" ht="17" customHeight="1" x14ac:dyDescent="0.2">
      <c r="D26" t="s">
        <v>8</v>
      </c>
      <c r="E26" t="s">
        <v>51</v>
      </c>
      <c r="F26" t="s">
        <v>390</v>
      </c>
      <c r="G26" t="s">
        <v>391</v>
      </c>
      <c r="H26" t="s">
        <v>386</v>
      </c>
      <c r="I26" t="s">
        <v>13</v>
      </c>
      <c r="J26" t="s">
        <v>14</v>
      </c>
      <c r="O26" t="b">
        <f>IF(COUNTIFS($F$2:F26, F26, $P$2:P26, TRUE)&gt;1,TRUE,FALSE)</f>
        <v>0</v>
      </c>
      <c r="P26" t="b">
        <f>OR(ISNUMBER(MATCH(Checklist[[#This Row],[Type]], $B$3:$B$22, 0)), Checklist[[#This Row],[Type]] = "*")</f>
        <v>0</v>
      </c>
    </row>
    <row r="27" spans="2:16" x14ac:dyDescent="0.2">
      <c r="D27" t="s">
        <v>8</v>
      </c>
      <c r="E27" t="s">
        <v>51</v>
      </c>
      <c r="F27" t="s">
        <v>392</v>
      </c>
      <c r="G27" t="s">
        <v>393</v>
      </c>
      <c r="H27" t="s">
        <v>394</v>
      </c>
      <c r="I27" t="s">
        <v>13</v>
      </c>
      <c r="J27" t="s">
        <v>14</v>
      </c>
      <c r="O27" t="b">
        <f>IF(COUNTIFS($F$2:F27, F27, $P$2:P27, TRUE)&gt;1,TRUE,FALSE)</f>
        <v>0</v>
      </c>
      <c r="P27" t="b">
        <f>OR(ISNUMBER(MATCH(Checklist[[#This Row],[Type]], $B$3:$B$22, 0)), Checklist[[#This Row],[Type]] = "*")</f>
        <v>0</v>
      </c>
    </row>
    <row r="28" spans="2:16" x14ac:dyDescent="0.2">
      <c r="D28" t="s">
        <v>8</v>
      </c>
      <c r="E28" t="s">
        <v>51</v>
      </c>
      <c r="F28" t="s">
        <v>395</v>
      </c>
      <c r="G28" t="s">
        <v>161</v>
      </c>
      <c r="H28" t="s">
        <v>396</v>
      </c>
      <c r="I28" t="s">
        <v>13</v>
      </c>
      <c r="J28" t="s">
        <v>14</v>
      </c>
      <c r="O28" t="b">
        <f>IF(COUNTIFS($F$2:F28, F28, $P$2:P28, TRUE)&gt;1,TRUE,FALSE)</f>
        <v>0</v>
      </c>
      <c r="P28" t="b">
        <f>OR(ISNUMBER(MATCH(Checklist[[#This Row],[Type]], $B$3:$B$22, 0)), Checklist[[#This Row],[Type]] = "*")</f>
        <v>0</v>
      </c>
    </row>
    <row r="29" spans="2:16" x14ac:dyDescent="0.2">
      <c r="D29" t="s">
        <v>8</v>
      </c>
      <c r="E29" t="s">
        <v>51</v>
      </c>
      <c r="F29" t="s">
        <v>397</v>
      </c>
      <c r="G29" t="s">
        <v>398</v>
      </c>
      <c r="H29" t="s">
        <v>399</v>
      </c>
      <c r="I29" t="s">
        <v>13</v>
      </c>
      <c r="J29" t="s">
        <v>14</v>
      </c>
      <c r="O29" t="b">
        <f>IF(COUNTIFS($F$2:F29, F29, $P$2:P29, TRUE)&gt;1,TRUE,FALSE)</f>
        <v>0</v>
      </c>
      <c r="P29" t="b">
        <f>OR(ISNUMBER(MATCH(Checklist[[#This Row],[Type]], $B$3:$B$22, 0)), Checklist[[#This Row],[Type]] = "*")</f>
        <v>0</v>
      </c>
    </row>
    <row r="30" spans="2:16" x14ac:dyDescent="0.2">
      <c r="D30" t="s">
        <v>8</v>
      </c>
      <c r="E30" t="s">
        <v>51</v>
      </c>
      <c r="F30" t="s">
        <v>400</v>
      </c>
      <c r="G30" t="s">
        <v>401</v>
      </c>
      <c r="H30" t="s">
        <v>402</v>
      </c>
      <c r="I30" t="s">
        <v>13</v>
      </c>
      <c r="J30" t="s">
        <v>14</v>
      </c>
      <c r="O30" t="b">
        <f>IF(COUNTIFS($F$2:F30, F30, $P$2:P30, TRUE)&gt;1,TRUE,FALSE)</f>
        <v>0</v>
      </c>
      <c r="P30" t="b">
        <f>OR(ISNUMBER(MATCH(Checklist[[#This Row],[Type]], $B$3:$B$22, 0)), Checklist[[#This Row],[Type]] = "*")</f>
        <v>0</v>
      </c>
    </row>
    <row r="31" spans="2:16" x14ac:dyDescent="0.2">
      <c r="D31" t="s">
        <v>8</v>
      </c>
      <c r="E31" t="s">
        <v>51</v>
      </c>
      <c r="F31" t="s">
        <v>403</v>
      </c>
      <c r="G31" t="s">
        <v>56</v>
      </c>
      <c r="H31" t="s">
        <v>57</v>
      </c>
      <c r="I31" t="s">
        <v>13</v>
      </c>
      <c r="J31" t="s">
        <v>14</v>
      </c>
      <c r="O31" t="b">
        <f>IF(COUNTIFS($F$2:F31, F31, $P$2:P31, TRUE)&gt;1,TRUE,FALSE)</f>
        <v>0</v>
      </c>
      <c r="P31" t="b">
        <f>OR(ISNUMBER(MATCH(Checklist[[#This Row],[Type]], $B$3:$B$22, 0)), Checklist[[#This Row],[Type]] = "*")</f>
        <v>0</v>
      </c>
    </row>
    <row r="32" spans="2:16" x14ac:dyDescent="0.2">
      <c r="D32" t="s">
        <v>8</v>
      </c>
      <c r="E32" t="s">
        <v>52</v>
      </c>
      <c r="F32" t="s">
        <v>404</v>
      </c>
      <c r="G32" t="s">
        <v>405</v>
      </c>
      <c r="H32" t="s">
        <v>406</v>
      </c>
      <c r="I32" t="s">
        <v>13</v>
      </c>
      <c r="J32" t="s">
        <v>14</v>
      </c>
      <c r="O32" t="b">
        <f>IF(COUNTIFS($F$2:F32, F32, $P$2:P32, TRUE)&gt;1,TRUE,FALSE)</f>
        <v>0</v>
      </c>
      <c r="P32" t="b">
        <f>OR(ISNUMBER(MATCH(Checklist[[#This Row],[Type]], $B$3:$B$22, 0)), Checklist[[#This Row],[Type]] = "*")</f>
        <v>0</v>
      </c>
    </row>
    <row r="33" spans="4:16" x14ac:dyDescent="0.2">
      <c r="D33" t="s">
        <v>8</v>
      </c>
      <c r="E33" t="s">
        <v>52</v>
      </c>
      <c r="F33" t="s">
        <v>407</v>
      </c>
      <c r="G33" t="s">
        <v>408</v>
      </c>
      <c r="H33" t="s">
        <v>409</v>
      </c>
      <c r="I33" t="s">
        <v>13</v>
      </c>
      <c r="J33" t="s">
        <v>14</v>
      </c>
      <c r="O33" t="b">
        <f>IF(COUNTIFS($F$2:F33, F33, $P$2:P33, TRUE)&gt;1,TRUE,FALSE)</f>
        <v>0</v>
      </c>
      <c r="P33" t="b">
        <f>OR(ISNUMBER(MATCH(Checklist[[#This Row],[Type]], $B$3:$B$22, 0)), Checklist[[#This Row],[Type]] = "*")</f>
        <v>0</v>
      </c>
    </row>
    <row r="34" spans="4:16" x14ac:dyDescent="0.2">
      <c r="D34" t="s">
        <v>8</v>
      </c>
      <c r="E34" t="s">
        <v>52</v>
      </c>
      <c r="F34" t="s">
        <v>410</v>
      </c>
      <c r="G34" t="s">
        <v>411</v>
      </c>
      <c r="H34" t="s">
        <v>412</v>
      </c>
      <c r="I34" t="s">
        <v>13</v>
      </c>
      <c r="J34" t="s">
        <v>14</v>
      </c>
      <c r="O34" t="b">
        <f>IF(COUNTIFS($F$2:F34, F34, $P$2:P34, TRUE)&gt;1,TRUE,FALSE)</f>
        <v>0</v>
      </c>
      <c r="P34" t="b">
        <f>OR(ISNUMBER(MATCH(Checklist[[#This Row],[Type]], $B$3:$B$22, 0)), Checklist[[#This Row],[Type]] = "*")</f>
        <v>0</v>
      </c>
    </row>
    <row r="35" spans="4:16" x14ac:dyDescent="0.2">
      <c r="D35" t="s">
        <v>8</v>
      </c>
      <c r="E35" t="s">
        <v>52</v>
      </c>
      <c r="F35" t="s">
        <v>413</v>
      </c>
      <c r="G35" t="s">
        <v>414</v>
      </c>
      <c r="H35" t="s">
        <v>415</v>
      </c>
      <c r="I35" t="s">
        <v>13</v>
      </c>
      <c r="J35" t="s">
        <v>14</v>
      </c>
      <c r="O35" t="b">
        <f>IF(COUNTIFS($F$2:F35, F35, $P$2:P35, TRUE)&gt;1,TRUE,FALSE)</f>
        <v>0</v>
      </c>
      <c r="P35" t="b">
        <f>OR(ISNUMBER(MATCH(Checklist[[#This Row],[Type]], $B$3:$B$22, 0)), Checklist[[#This Row],[Type]] = "*")</f>
        <v>0</v>
      </c>
    </row>
    <row r="36" spans="4:16" x14ac:dyDescent="0.2">
      <c r="D36" t="s">
        <v>8</v>
      </c>
      <c r="E36" t="s">
        <v>52</v>
      </c>
      <c r="F36" t="s">
        <v>416</v>
      </c>
      <c r="G36" t="s">
        <v>417</v>
      </c>
      <c r="H36" t="s">
        <v>418</v>
      </c>
      <c r="I36" t="s">
        <v>13</v>
      </c>
      <c r="J36" t="s">
        <v>14</v>
      </c>
      <c r="O36" t="b">
        <f>IF(COUNTIFS($F$2:F36, F36, $P$2:P36, TRUE)&gt;1,TRUE,FALSE)</f>
        <v>0</v>
      </c>
      <c r="P36" t="b">
        <f>OR(ISNUMBER(MATCH(Checklist[[#This Row],[Type]], $B$3:$B$22, 0)), Checklist[[#This Row],[Type]] = "*")</f>
        <v>0</v>
      </c>
    </row>
    <row r="37" spans="4:16" x14ac:dyDescent="0.2">
      <c r="D37" t="s">
        <v>8</v>
      </c>
      <c r="E37" t="s">
        <v>52</v>
      </c>
      <c r="F37" t="s">
        <v>419</v>
      </c>
      <c r="G37" t="s">
        <v>420</v>
      </c>
      <c r="H37" t="s">
        <v>421</v>
      </c>
      <c r="I37" t="s">
        <v>13</v>
      </c>
      <c r="J37" t="s">
        <v>14</v>
      </c>
      <c r="O37" t="b">
        <f>IF(COUNTIFS($F$2:F37, F37, $P$2:P37, TRUE)&gt;1,TRUE,FALSE)</f>
        <v>0</v>
      </c>
      <c r="P37" t="b">
        <f>OR(ISNUMBER(MATCH(Checklist[[#This Row],[Type]], $B$3:$B$22, 0)), Checklist[[#This Row],[Type]] = "*")</f>
        <v>0</v>
      </c>
    </row>
    <row r="38" spans="4:16" x14ac:dyDescent="0.2">
      <c r="D38" t="s">
        <v>8</v>
      </c>
      <c r="E38" t="s">
        <v>52</v>
      </c>
      <c r="F38" t="s">
        <v>422</v>
      </c>
      <c r="G38" t="s">
        <v>423</v>
      </c>
      <c r="H38" t="s">
        <v>424</v>
      </c>
      <c r="I38" t="s">
        <v>13</v>
      </c>
      <c r="J38" t="s">
        <v>14</v>
      </c>
      <c r="O38" t="b">
        <f>IF(COUNTIFS($F$2:F38, F38, $P$2:P38, TRUE)&gt;1,TRUE,FALSE)</f>
        <v>0</v>
      </c>
      <c r="P38" t="b">
        <f>OR(ISNUMBER(MATCH(Checklist[[#This Row],[Type]], $B$3:$B$22, 0)), Checklist[[#This Row],[Type]] = "*")</f>
        <v>0</v>
      </c>
    </row>
    <row r="39" spans="4:16" x14ac:dyDescent="0.2">
      <c r="D39" t="s">
        <v>8</v>
      </c>
      <c r="E39" t="s">
        <v>52</v>
      </c>
      <c r="F39" t="s">
        <v>425</v>
      </c>
      <c r="G39" t="s">
        <v>204</v>
      </c>
      <c r="H39" t="s">
        <v>426</v>
      </c>
      <c r="I39" t="s">
        <v>13</v>
      </c>
      <c r="J39" t="s">
        <v>14</v>
      </c>
      <c r="O39" t="b">
        <f>IF(COUNTIFS($F$2:F39, F39, $P$2:P39, TRUE)&gt;1,TRUE,FALSE)</f>
        <v>0</v>
      </c>
      <c r="P39" t="b">
        <f>OR(ISNUMBER(MATCH(Checklist[[#This Row],[Type]], $B$3:$B$22, 0)), Checklist[[#This Row],[Type]] = "*")</f>
        <v>0</v>
      </c>
    </row>
    <row r="40" spans="4:16" x14ac:dyDescent="0.2">
      <c r="D40" t="s">
        <v>8</v>
      </c>
      <c r="E40" t="s">
        <v>52</v>
      </c>
      <c r="F40" t="s">
        <v>427</v>
      </c>
      <c r="G40" t="s">
        <v>133</v>
      </c>
      <c r="H40" t="s">
        <v>428</v>
      </c>
      <c r="I40" t="s">
        <v>13</v>
      </c>
      <c r="J40" t="s">
        <v>14</v>
      </c>
      <c r="O40" t="b">
        <f>IF(COUNTIFS($F$2:F40, F40, $P$2:P40, TRUE)&gt;1,TRUE,FALSE)</f>
        <v>0</v>
      </c>
      <c r="P40" t="b">
        <f>OR(ISNUMBER(MATCH(Checklist[[#This Row],[Type]], $B$3:$B$22, 0)), Checklist[[#This Row],[Type]] = "*")</f>
        <v>0</v>
      </c>
    </row>
    <row r="41" spans="4:16" x14ac:dyDescent="0.2">
      <c r="D41" t="s">
        <v>8</v>
      </c>
      <c r="E41" t="s">
        <v>52</v>
      </c>
      <c r="F41" t="s">
        <v>429</v>
      </c>
      <c r="G41" t="s">
        <v>430</v>
      </c>
      <c r="H41" t="s">
        <v>431</v>
      </c>
      <c r="I41" t="s">
        <v>13</v>
      </c>
      <c r="J41" t="s">
        <v>14</v>
      </c>
      <c r="O41" t="b">
        <f>IF(COUNTIFS($F$2:F41, F41, $P$2:P41, TRUE)&gt;1,TRUE,FALSE)</f>
        <v>0</v>
      </c>
      <c r="P41" t="b">
        <f>OR(ISNUMBER(MATCH(Checklist[[#This Row],[Type]], $B$3:$B$22, 0)), Checklist[[#This Row],[Type]] = "*")</f>
        <v>0</v>
      </c>
    </row>
    <row r="42" spans="4:16" x14ac:dyDescent="0.2">
      <c r="D42" t="s">
        <v>8</v>
      </c>
      <c r="E42" t="s">
        <v>52</v>
      </c>
      <c r="F42" t="s">
        <v>432</v>
      </c>
      <c r="G42" t="s">
        <v>789</v>
      </c>
      <c r="H42" t="s">
        <v>790</v>
      </c>
      <c r="I42" t="s">
        <v>13</v>
      </c>
      <c r="J42" t="s">
        <v>14</v>
      </c>
      <c r="O42" t="b">
        <f>IF(COUNTIFS($F$2:F42, F42, $P$2:P42, TRUE)&gt;1,TRUE,FALSE)</f>
        <v>0</v>
      </c>
      <c r="P42" t="b">
        <f>OR(ISNUMBER(MATCH(Checklist[[#This Row],[Type]], $B$3:$B$22, 0)), Checklist[[#This Row],[Type]] = "*")</f>
        <v>0</v>
      </c>
    </row>
    <row r="43" spans="4:16" x14ac:dyDescent="0.2">
      <c r="D43" t="s">
        <v>8</v>
      </c>
      <c r="E43" t="s">
        <v>52</v>
      </c>
      <c r="F43" t="s">
        <v>791</v>
      </c>
      <c r="G43" t="s">
        <v>433</v>
      </c>
      <c r="H43" t="s">
        <v>434</v>
      </c>
      <c r="I43" t="s">
        <v>13</v>
      </c>
      <c r="J43" t="s">
        <v>14</v>
      </c>
      <c r="O43" t="b">
        <f>IF(COUNTIFS($F$2:F43, F43, $P$2:P43, TRUE)&gt;1,TRUE,FALSE)</f>
        <v>0</v>
      </c>
      <c r="P43" t="b">
        <f>OR(ISNUMBER(MATCH(Checklist[[#This Row],[Type]], $B$3:$B$22, 0)), Checklist[[#This Row],[Type]] = "*")</f>
        <v>0</v>
      </c>
    </row>
    <row r="44" spans="4:16" x14ac:dyDescent="0.2">
      <c r="D44" t="s">
        <v>8</v>
      </c>
      <c r="E44" t="s">
        <v>52</v>
      </c>
      <c r="F44" t="s">
        <v>435</v>
      </c>
      <c r="G44" t="s">
        <v>837</v>
      </c>
      <c r="H44" t="s">
        <v>838</v>
      </c>
      <c r="I44" t="s">
        <v>13</v>
      </c>
      <c r="J44" t="s">
        <v>14</v>
      </c>
      <c r="O44" t="b">
        <f>IF(COUNTIFS($F$2:F44, F44, $P$2:P44, TRUE)&gt;1,TRUE,FALSE)</f>
        <v>0</v>
      </c>
      <c r="P44" t="b">
        <f>OR(ISNUMBER(MATCH(Checklist[[#This Row],[Type]], $B$3:$B$22, 0)), Checklist[[#This Row],[Type]] = "*")</f>
        <v>0</v>
      </c>
    </row>
    <row r="45" spans="4:16" x14ac:dyDescent="0.2">
      <c r="D45" t="s">
        <v>8</v>
      </c>
      <c r="E45" t="s">
        <v>52</v>
      </c>
      <c r="F45" t="s">
        <v>438</v>
      </c>
      <c r="G45" t="s">
        <v>439</v>
      </c>
      <c r="H45" t="s">
        <v>839</v>
      </c>
      <c r="I45" t="s">
        <v>13</v>
      </c>
      <c r="J45" t="s">
        <v>14</v>
      </c>
      <c r="O45" t="b">
        <f>IF(COUNTIFS($F$2:F45, F45, $P$2:P45, TRUE)&gt;1,TRUE,FALSE)</f>
        <v>0</v>
      </c>
      <c r="P45" t="b">
        <f>OR(ISNUMBER(MATCH(Checklist[[#This Row],[Type]], $B$3:$B$22, 0)), Checklist[[#This Row],[Type]] = "*")</f>
        <v>0</v>
      </c>
    </row>
    <row r="46" spans="4:16" x14ac:dyDescent="0.2">
      <c r="D46" t="s">
        <v>8</v>
      </c>
      <c r="E46" t="s">
        <v>52</v>
      </c>
      <c r="F46" t="s">
        <v>441</v>
      </c>
      <c r="G46" t="s">
        <v>442</v>
      </c>
      <c r="H46" t="s">
        <v>443</v>
      </c>
      <c r="I46" t="s">
        <v>13</v>
      </c>
      <c r="J46" t="s">
        <v>14</v>
      </c>
      <c r="O46" t="b">
        <f>IF(COUNTIFS($F$2:F46, F46, $P$2:P46, TRUE)&gt;1,TRUE,FALSE)</f>
        <v>0</v>
      </c>
      <c r="P46" t="b">
        <f>OR(ISNUMBER(MATCH(Checklist[[#This Row],[Type]], $B$3:$B$22, 0)), Checklist[[#This Row],[Type]] = "*")</f>
        <v>0</v>
      </c>
    </row>
    <row r="47" spans="4:16" x14ac:dyDescent="0.2">
      <c r="D47" t="s">
        <v>8</v>
      </c>
      <c r="E47" t="s">
        <v>53</v>
      </c>
      <c r="F47" t="s">
        <v>404</v>
      </c>
      <c r="G47" t="s">
        <v>405</v>
      </c>
      <c r="H47" t="s">
        <v>406</v>
      </c>
      <c r="I47" t="s">
        <v>13</v>
      </c>
      <c r="J47" t="s">
        <v>14</v>
      </c>
      <c r="O47" t="b">
        <f>IF(COUNTIFS($F$2:F47, F47, $P$2:P47, TRUE)&gt;1,TRUE,FALSE)</f>
        <v>0</v>
      </c>
      <c r="P47" t="b">
        <f>OR(ISNUMBER(MATCH(Checklist[[#This Row],[Type]], $B$3:$B$22, 0)), Checklist[[#This Row],[Type]] = "*")</f>
        <v>0</v>
      </c>
    </row>
    <row r="48" spans="4:16" x14ac:dyDescent="0.2">
      <c r="D48" t="s">
        <v>8</v>
      </c>
      <c r="E48" t="s">
        <v>53</v>
      </c>
      <c r="F48" t="s">
        <v>407</v>
      </c>
      <c r="G48" t="s">
        <v>408</v>
      </c>
      <c r="H48" t="s">
        <v>409</v>
      </c>
      <c r="I48" t="s">
        <v>13</v>
      </c>
      <c r="J48" t="s">
        <v>14</v>
      </c>
      <c r="O48" t="b">
        <f>IF(COUNTIFS($F$2:F48, F48, $P$2:P48, TRUE)&gt;1,TRUE,FALSE)</f>
        <v>0</v>
      </c>
      <c r="P48" t="b">
        <f>OR(ISNUMBER(MATCH(Checklist[[#This Row],[Type]], $B$3:$B$22, 0)), Checklist[[#This Row],[Type]] = "*")</f>
        <v>0</v>
      </c>
    </row>
    <row r="49" spans="4:16" x14ac:dyDescent="0.2">
      <c r="D49" t="s">
        <v>8</v>
      </c>
      <c r="E49" t="s">
        <v>53</v>
      </c>
      <c r="F49" t="s">
        <v>410</v>
      </c>
      <c r="G49" t="s">
        <v>411</v>
      </c>
      <c r="H49" t="s">
        <v>412</v>
      </c>
      <c r="I49" t="s">
        <v>13</v>
      </c>
      <c r="J49" t="s">
        <v>14</v>
      </c>
      <c r="O49" t="b">
        <f>IF(COUNTIFS($F$2:F49, F49, $P$2:P49, TRUE)&gt;1,TRUE,FALSE)</f>
        <v>0</v>
      </c>
      <c r="P49" t="b">
        <f>OR(ISNUMBER(MATCH(Checklist[[#This Row],[Type]], $B$3:$B$22, 0)), Checklist[[#This Row],[Type]] = "*")</f>
        <v>0</v>
      </c>
    </row>
    <row r="50" spans="4:16" x14ac:dyDescent="0.2">
      <c r="D50" t="s">
        <v>8</v>
      </c>
      <c r="E50" t="s">
        <v>53</v>
      </c>
      <c r="F50" t="s">
        <v>413</v>
      </c>
      <c r="G50" t="s">
        <v>414</v>
      </c>
      <c r="H50" t="s">
        <v>415</v>
      </c>
      <c r="I50" t="s">
        <v>13</v>
      </c>
      <c r="J50" t="s">
        <v>14</v>
      </c>
      <c r="O50" t="b">
        <f>IF(COUNTIFS($F$2:F50, F50, $P$2:P50, TRUE)&gt;1,TRUE,FALSE)</f>
        <v>0</v>
      </c>
      <c r="P50" t="b">
        <f>OR(ISNUMBER(MATCH(Checklist[[#This Row],[Type]], $B$3:$B$22, 0)), Checklist[[#This Row],[Type]] = "*")</f>
        <v>0</v>
      </c>
    </row>
    <row r="51" spans="4:16" x14ac:dyDescent="0.2">
      <c r="D51" t="s">
        <v>8</v>
      </c>
      <c r="E51" t="s">
        <v>53</v>
      </c>
      <c r="F51" t="s">
        <v>416</v>
      </c>
      <c r="G51" t="s">
        <v>417</v>
      </c>
      <c r="H51" t="s">
        <v>418</v>
      </c>
      <c r="I51" t="s">
        <v>13</v>
      </c>
      <c r="J51" t="s">
        <v>14</v>
      </c>
      <c r="O51" t="b">
        <f>IF(COUNTIFS($F$2:F51, F51, $P$2:P51, TRUE)&gt;1,TRUE,FALSE)</f>
        <v>0</v>
      </c>
      <c r="P51" t="b">
        <f>OR(ISNUMBER(MATCH(Checklist[[#This Row],[Type]], $B$3:$B$22, 0)), Checklist[[#This Row],[Type]] = "*")</f>
        <v>0</v>
      </c>
    </row>
    <row r="52" spans="4:16" x14ac:dyDescent="0.2">
      <c r="D52" t="s">
        <v>8</v>
      </c>
      <c r="E52" t="s">
        <v>53</v>
      </c>
      <c r="F52" t="s">
        <v>419</v>
      </c>
      <c r="G52" t="s">
        <v>420</v>
      </c>
      <c r="H52" t="s">
        <v>421</v>
      </c>
      <c r="I52" t="s">
        <v>13</v>
      </c>
      <c r="J52" t="s">
        <v>14</v>
      </c>
      <c r="O52" t="b">
        <f>IF(COUNTIFS($F$2:F52, F52, $P$2:P52, TRUE)&gt;1,TRUE,FALSE)</f>
        <v>0</v>
      </c>
      <c r="P52" t="b">
        <f>OR(ISNUMBER(MATCH(Checklist[[#This Row],[Type]], $B$3:$B$22, 0)), Checklist[[#This Row],[Type]] = "*")</f>
        <v>0</v>
      </c>
    </row>
    <row r="53" spans="4:16" x14ac:dyDescent="0.2">
      <c r="D53" t="s">
        <v>8</v>
      </c>
      <c r="E53" t="s">
        <v>53</v>
      </c>
      <c r="F53" t="s">
        <v>422</v>
      </c>
      <c r="G53" t="s">
        <v>423</v>
      </c>
      <c r="H53" t="s">
        <v>424</v>
      </c>
      <c r="I53" t="s">
        <v>13</v>
      </c>
      <c r="J53" t="s">
        <v>14</v>
      </c>
      <c r="O53" t="b">
        <f>IF(COUNTIFS($F$2:F53, F53, $P$2:P53, TRUE)&gt;1,TRUE,FALSE)</f>
        <v>0</v>
      </c>
      <c r="P53" t="b">
        <f>OR(ISNUMBER(MATCH(Checklist[[#This Row],[Type]], $B$3:$B$22, 0)), Checklist[[#This Row],[Type]] = "*")</f>
        <v>0</v>
      </c>
    </row>
    <row r="54" spans="4:16" x14ac:dyDescent="0.2">
      <c r="D54" t="s">
        <v>8</v>
      </c>
      <c r="E54" t="s">
        <v>53</v>
      </c>
      <c r="F54" t="s">
        <v>425</v>
      </c>
      <c r="G54" t="s">
        <v>204</v>
      </c>
      <c r="H54" t="s">
        <v>426</v>
      </c>
      <c r="I54" t="s">
        <v>13</v>
      </c>
      <c r="J54" t="s">
        <v>14</v>
      </c>
      <c r="O54" t="b">
        <f>IF(COUNTIFS($F$2:F54, F54, $P$2:P54, TRUE)&gt;1,TRUE,FALSE)</f>
        <v>0</v>
      </c>
      <c r="P54" t="b">
        <f>OR(ISNUMBER(MATCH(Checklist[[#This Row],[Type]], $B$3:$B$22, 0)), Checklist[[#This Row],[Type]] = "*")</f>
        <v>0</v>
      </c>
    </row>
    <row r="55" spans="4:16" x14ac:dyDescent="0.2">
      <c r="D55" t="s">
        <v>8</v>
      </c>
      <c r="E55" t="s">
        <v>53</v>
      </c>
      <c r="F55" t="s">
        <v>427</v>
      </c>
      <c r="G55" t="s">
        <v>133</v>
      </c>
      <c r="H55" t="s">
        <v>428</v>
      </c>
      <c r="I55" t="s">
        <v>13</v>
      </c>
      <c r="J55" t="s">
        <v>14</v>
      </c>
      <c r="O55" t="b">
        <f>IF(COUNTIFS($F$2:F55, F55, $P$2:P55, TRUE)&gt;1,TRUE,FALSE)</f>
        <v>0</v>
      </c>
      <c r="P55" t="b">
        <f>OR(ISNUMBER(MATCH(Checklist[[#This Row],[Type]], $B$3:$B$22, 0)), Checklist[[#This Row],[Type]] = "*")</f>
        <v>0</v>
      </c>
    </row>
    <row r="56" spans="4:16" x14ac:dyDescent="0.2">
      <c r="D56" t="s">
        <v>8</v>
      </c>
      <c r="E56" t="s">
        <v>53</v>
      </c>
      <c r="F56" t="s">
        <v>444</v>
      </c>
      <c r="G56" t="s">
        <v>445</v>
      </c>
      <c r="H56" t="s">
        <v>446</v>
      </c>
      <c r="I56" t="s">
        <v>13</v>
      </c>
      <c r="J56" t="s">
        <v>14</v>
      </c>
      <c r="O56" t="b">
        <f>IF(COUNTIFS($F$2:F56, F56, $P$2:P56, TRUE)&gt;1,TRUE,FALSE)</f>
        <v>0</v>
      </c>
      <c r="P56" t="b">
        <f>OR(ISNUMBER(MATCH(Checklist[[#This Row],[Type]], $B$3:$B$22, 0)), Checklist[[#This Row],[Type]] = "*")</f>
        <v>0</v>
      </c>
    </row>
    <row r="57" spans="4:16" x14ac:dyDescent="0.2">
      <c r="D57" t="s">
        <v>8</v>
      </c>
      <c r="E57" t="s">
        <v>53</v>
      </c>
      <c r="F57" t="s">
        <v>792</v>
      </c>
      <c r="G57" t="s">
        <v>54</v>
      </c>
      <c r="H57" t="s">
        <v>793</v>
      </c>
      <c r="I57" t="s">
        <v>13</v>
      </c>
      <c r="J57" t="s">
        <v>14</v>
      </c>
      <c r="O57" t="b">
        <f>IF(COUNTIFS($F$2:F57, F57, $P$2:P57, TRUE)&gt;1,TRUE,FALSE)</f>
        <v>0</v>
      </c>
      <c r="P57" t="b">
        <f>OR(ISNUMBER(MATCH(Checklist[[#This Row],[Type]], $B$3:$B$22, 0)), Checklist[[#This Row],[Type]] = "*")</f>
        <v>0</v>
      </c>
    </row>
    <row r="58" spans="4:16" x14ac:dyDescent="0.2">
      <c r="D58" t="s">
        <v>8</v>
      </c>
      <c r="E58" t="s">
        <v>53</v>
      </c>
      <c r="F58" t="s">
        <v>794</v>
      </c>
      <c r="G58" t="s">
        <v>433</v>
      </c>
      <c r="H58" t="s">
        <v>727</v>
      </c>
      <c r="I58" t="s">
        <v>13</v>
      </c>
      <c r="J58" t="s">
        <v>14</v>
      </c>
      <c r="O58" t="b">
        <f>IF(COUNTIFS($F$2:F58, F58, $P$2:P58, TRUE)&gt;1,TRUE,FALSE)</f>
        <v>0</v>
      </c>
      <c r="P58" t="b">
        <f>OR(ISNUMBER(MATCH(Checklist[[#This Row],[Type]], $B$3:$B$22, 0)), Checklist[[#This Row],[Type]] = "*")</f>
        <v>0</v>
      </c>
    </row>
    <row r="59" spans="4:16" x14ac:dyDescent="0.2">
      <c r="D59" t="s">
        <v>8</v>
      </c>
      <c r="E59" t="s">
        <v>53</v>
      </c>
      <c r="F59" t="s">
        <v>795</v>
      </c>
      <c r="G59" t="s">
        <v>796</v>
      </c>
      <c r="H59" t="s">
        <v>797</v>
      </c>
      <c r="I59" t="s">
        <v>13</v>
      </c>
      <c r="J59" t="s">
        <v>14</v>
      </c>
      <c r="O59" t="b">
        <f>IF(COUNTIFS($F$2:F59, F59, $P$2:P59, TRUE)&gt;1,TRUE,FALSE)</f>
        <v>0</v>
      </c>
      <c r="P59" t="b">
        <f>OR(ISNUMBER(MATCH(Checklist[[#This Row],[Type]], $B$3:$B$22, 0)), Checklist[[#This Row],[Type]] = "*")</f>
        <v>0</v>
      </c>
    </row>
    <row r="60" spans="4:16" x14ac:dyDescent="0.2">
      <c r="D60" t="s">
        <v>8</v>
      </c>
      <c r="E60" t="s">
        <v>53</v>
      </c>
      <c r="F60" t="s">
        <v>798</v>
      </c>
      <c r="G60" t="s">
        <v>580</v>
      </c>
      <c r="H60" t="s">
        <v>581</v>
      </c>
      <c r="I60" t="s">
        <v>13</v>
      </c>
      <c r="J60" t="s">
        <v>14</v>
      </c>
      <c r="O60" t="b">
        <f>IF(COUNTIFS($F$2:F60, F60, $P$2:P60, TRUE)&gt;1,TRUE,FALSE)</f>
        <v>0</v>
      </c>
      <c r="P60" t="b">
        <f>OR(ISNUMBER(MATCH(Checklist[[#This Row],[Type]], $B$3:$B$22, 0)), Checklist[[#This Row],[Type]] = "*")</f>
        <v>0</v>
      </c>
    </row>
    <row r="61" spans="4:16" x14ac:dyDescent="0.2">
      <c r="D61" t="s">
        <v>8</v>
      </c>
      <c r="E61" t="s">
        <v>353</v>
      </c>
      <c r="F61" t="s">
        <v>447</v>
      </c>
      <c r="G61" t="s">
        <v>448</v>
      </c>
      <c r="H61" t="s">
        <v>449</v>
      </c>
      <c r="I61" t="s">
        <v>13</v>
      </c>
      <c r="J61" t="s">
        <v>14</v>
      </c>
      <c r="O61" t="b">
        <f>IF(COUNTIFS($F$2:F61, F61, $P$2:P61, TRUE)&gt;1,TRUE,FALSE)</f>
        <v>0</v>
      </c>
      <c r="P61" t="b">
        <f>OR(ISNUMBER(MATCH(Checklist[[#This Row],[Type]], $B$3:$B$22, 0)), Checklist[[#This Row],[Type]] = "*")</f>
        <v>0</v>
      </c>
    </row>
    <row r="62" spans="4:16" x14ac:dyDescent="0.2">
      <c r="D62" t="s">
        <v>8</v>
      </c>
      <c r="E62" t="s">
        <v>353</v>
      </c>
      <c r="F62" t="s">
        <v>450</v>
      </c>
      <c r="G62" t="s">
        <v>451</v>
      </c>
      <c r="H62" t="s">
        <v>452</v>
      </c>
      <c r="I62" t="s">
        <v>13</v>
      </c>
      <c r="J62" t="s">
        <v>14</v>
      </c>
      <c r="O62" t="b">
        <f>IF(COUNTIFS($F$2:F62, F62, $P$2:P62, TRUE)&gt;1,TRUE,FALSE)</f>
        <v>0</v>
      </c>
      <c r="P62" t="b">
        <f>OR(ISNUMBER(MATCH(Checklist[[#This Row],[Type]], $B$3:$B$22, 0)), Checklist[[#This Row],[Type]] = "*")</f>
        <v>0</v>
      </c>
    </row>
    <row r="63" spans="4:16" x14ac:dyDescent="0.2">
      <c r="D63" t="s">
        <v>8</v>
      </c>
      <c r="E63" t="s">
        <v>353</v>
      </c>
      <c r="F63" t="s">
        <v>453</v>
      </c>
      <c r="G63" t="s">
        <v>454</v>
      </c>
      <c r="H63" t="s">
        <v>455</v>
      </c>
      <c r="I63" t="s">
        <v>13</v>
      </c>
      <c r="J63" t="s">
        <v>14</v>
      </c>
      <c r="O63" t="b">
        <f>IF(COUNTIFS($F$2:F63, F63, $P$2:P63, TRUE)&gt;1,TRUE,FALSE)</f>
        <v>0</v>
      </c>
      <c r="P63" t="b">
        <f>OR(ISNUMBER(MATCH(Checklist[[#This Row],[Type]], $B$3:$B$22, 0)), Checklist[[#This Row],[Type]] = "*")</f>
        <v>0</v>
      </c>
    </row>
    <row r="64" spans="4:16" x14ac:dyDescent="0.2">
      <c r="D64" t="s">
        <v>8</v>
      </c>
      <c r="E64" t="s">
        <v>353</v>
      </c>
      <c r="F64" t="s">
        <v>456</v>
      </c>
      <c r="G64" t="s">
        <v>457</v>
      </c>
      <c r="H64" t="s">
        <v>813</v>
      </c>
      <c r="I64" t="s">
        <v>13</v>
      </c>
      <c r="J64" t="s">
        <v>14</v>
      </c>
      <c r="O64" t="b">
        <f>IF(COUNTIFS($F$2:F64, F64, $P$2:P64, TRUE)&gt;1,TRUE,FALSE)</f>
        <v>0</v>
      </c>
      <c r="P64" t="b">
        <f>OR(ISNUMBER(MATCH(Checklist[[#This Row],[Type]], $B$3:$B$22, 0)), Checklist[[#This Row],[Type]] = "*")</f>
        <v>0</v>
      </c>
    </row>
    <row r="65" spans="4:16" x14ac:dyDescent="0.2">
      <c r="D65" t="s">
        <v>8</v>
      </c>
      <c r="E65" t="s">
        <v>353</v>
      </c>
      <c r="F65" t="s">
        <v>799</v>
      </c>
      <c r="G65" t="s">
        <v>800</v>
      </c>
      <c r="H65" t="s">
        <v>801</v>
      </c>
      <c r="I65" t="s">
        <v>13</v>
      </c>
      <c r="J65" t="s">
        <v>14</v>
      </c>
      <c r="O65" t="b">
        <f>IF(COUNTIFS($F$2:F65, F65, $P$2:P65, TRUE)&gt;1,TRUE,FALSE)</f>
        <v>0</v>
      </c>
      <c r="P65" t="b">
        <f>OR(ISNUMBER(MATCH(Checklist[[#This Row],[Type]], $B$3:$B$22, 0)), Checklist[[#This Row],[Type]] = "*")</f>
        <v>0</v>
      </c>
    </row>
    <row r="66" spans="4:16" x14ac:dyDescent="0.2">
      <c r="D66" t="s">
        <v>8</v>
      </c>
      <c r="E66" t="s">
        <v>353</v>
      </c>
      <c r="F66" t="s">
        <v>458</v>
      </c>
      <c r="G66" t="s">
        <v>56</v>
      </c>
      <c r="H66" t="s">
        <v>57</v>
      </c>
      <c r="I66" t="s">
        <v>13</v>
      </c>
      <c r="J66" t="s">
        <v>14</v>
      </c>
      <c r="O66" t="b">
        <f>IF(COUNTIFS($F$2:F66, F66, $P$2:P66, TRUE)&gt;1,TRUE,FALSE)</f>
        <v>0</v>
      </c>
      <c r="P66" t="b">
        <f>OR(ISNUMBER(MATCH(Checklist[[#This Row],[Type]], $B$3:$B$22, 0)), Checklist[[#This Row],[Type]] = "*")</f>
        <v>0</v>
      </c>
    </row>
    <row r="67" spans="4:16" x14ac:dyDescent="0.2">
      <c r="D67" t="s">
        <v>8</v>
      </c>
      <c r="E67" t="s">
        <v>353</v>
      </c>
      <c r="F67" t="s">
        <v>459</v>
      </c>
      <c r="G67" t="s">
        <v>460</v>
      </c>
      <c r="H67" t="s">
        <v>461</v>
      </c>
      <c r="I67" t="s">
        <v>13</v>
      </c>
      <c r="J67" t="s">
        <v>14</v>
      </c>
      <c r="O67" t="b">
        <f>IF(COUNTIFS($F$2:F67, F67, $P$2:P67, TRUE)&gt;1,TRUE,FALSE)</f>
        <v>0</v>
      </c>
      <c r="P67" t="b">
        <f>OR(ISNUMBER(MATCH(Checklist[[#This Row],[Type]], $B$3:$B$22, 0)), Checklist[[#This Row],[Type]] = "*")</f>
        <v>0</v>
      </c>
    </row>
    <row r="68" spans="4:16" x14ac:dyDescent="0.2">
      <c r="D68" t="s">
        <v>8</v>
      </c>
      <c r="E68" t="s">
        <v>353</v>
      </c>
      <c r="F68" t="s">
        <v>462</v>
      </c>
      <c r="G68" t="s">
        <v>423</v>
      </c>
      <c r="H68" t="s">
        <v>424</v>
      </c>
      <c r="I68" t="s">
        <v>13</v>
      </c>
      <c r="J68" t="s">
        <v>14</v>
      </c>
      <c r="O68" t="b">
        <f>IF(COUNTIFS($F$2:F68, F68, $P$2:P68, TRUE)&gt;1,TRUE,FALSE)</f>
        <v>0</v>
      </c>
      <c r="P68" t="b">
        <f>OR(ISNUMBER(MATCH(Checklist[[#This Row],[Type]], $B$3:$B$22, 0)), Checklist[[#This Row],[Type]] = "*")</f>
        <v>0</v>
      </c>
    </row>
    <row r="69" spans="4:16" x14ac:dyDescent="0.2">
      <c r="D69" t="s">
        <v>8</v>
      </c>
      <c r="E69" t="s">
        <v>353</v>
      </c>
      <c r="F69" t="s">
        <v>463</v>
      </c>
      <c r="G69" t="s">
        <v>464</v>
      </c>
      <c r="H69" t="s">
        <v>465</v>
      </c>
      <c r="I69" t="s">
        <v>13</v>
      </c>
      <c r="J69" t="s">
        <v>14</v>
      </c>
      <c r="O69" t="b">
        <f>IF(COUNTIFS($F$2:F69, F69, $P$2:P69, TRUE)&gt;1,TRUE,FALSE)</f>
        <v>0</v>
      </c>
      <c r="P69" t="b">
        <f>OR(ISNUMBER(MATCH(Checklist[[#This Row],[Type]], $B$3:$B$22, 0)), Checklist[[#This Row],[Type]] = "*")</f>
        <v>0</v>
      </c>
    </row>
    <row r="70" spans="4:16" x14ac:dyDescent="0.2">
      <c r="D70" t="s">
        <v>8</v>
      </c>
      <c r="E70" t="s">
        <v>353</v>
      </c>
      <c r="F70" t="s">
        <v>466</v>
      </c>
      <c r="G70" t="s">
        <v>467</v>
      </c>
      <c r="H70" t="s">
        <v>468</v>
      </c>
      <c r="I70" t="s">
        <v>13</v>
      </c>
      <c r="J70" t="s">
        <v>14</v>
      </c>
      <c r="O70" t="b">
        <f>IF(COUNTIFS($F$2:F70, F70, $P$2:P70, TRUE)&gt;1,TRUE,FALSE)</f>
        <v>0</v>
      </c>
      <c r="P70" t="b">
        <f>OR(ISNUMBER(MATCH(Checklist[[#This Row],[Type]], $B$3:$B$22, 0)), Checklist[[#This Row],[Type]] = "*")</f>
        <v>0</v>
      </c>
    </row>
    <row r="71" spans="4:16" x14ac:dyDescent="0.2">
      <c r="D71" t="s">
        <v>8</v>
      </c>
      <c r="E71" t="s">
        <v>353</v>
      </c>
      <c r="F71" t="s">
        <v>802</v>
      </c>
      <c r="G71" t="s">
        <v>189</v>
      </c>
      <c r="H71" t="s">
        <v>803</v>
      </c>
      <c r="I71" t="s">
        <v>13</v>
      </c>
      <c r="J71" t="s">
        <v>14</v>
      </c>
      <c r="O71" t="b">
        <f>IF(COUNTIFS($F$2:F71, F71, $P$2:P71, TRUE)&gt;1,TRUE,FALSE)</f>
        <v>0</v>
      </c>
      <c r="P71" t="b">
        <f>OR(ISNUMBER(MATCH(Checklist[[#This Row],[Type]], $B$3:$B$22, 0)), Checklist[[#This Row],[Type]] = "*")</f>
        <v>0</v>
      </c>
    </row>
    <row r="72" spans="4:16" x14ac:dyDescent="0.2">
      <c r="D72" t="s">
        <v>8</v>
      </c>
      <c r="E72" t="s">
        <v>55</v>
      </c>
      <c r="F72" t="s">
        <v>404</v>
      </c>
      <c r="G72" t="s">
        <v>405</v>
      </c>
      <c r="H72" t="s">
        <v>406</v>
      </c>
      <c r="I72" t="s">
        <v>13</v>
      </c>
      <c r="J72" t="s">
        <v>14</v>
      </c>
      <c r="O72" t="b">
        <f>IF(COUNTIFS($F$2:F72, F72, $P$2:P72, TRUE)&gt;1,TRUE,FALSE)</f>
        <v>0</v>
      </c>
      <c r="P72" t="b">
        <f>OR(ISNUMBER(MATCH(Checklist[[#This Row],[Type]], $B$3:$B$22, 0)), Checklist[[#This Row],[Type]] = "*")</f>
        <v>0</v>
      </c>
    </row>
    <row r="73" spans="4:16" x14ac:dyDescent="0.2">
      <c r="D73" t="s">
        <v>8</v>
      </c>
      <c r="E73" t="s">
        <v>55</v>
      </c>
      <c r="F73" t="s">
        <v>407</v>
      </c>
      <c r="G73" t="s">
        <v>408</v>
      </c>
      <c r="H73" t="s">
        <v>409</v>
      </c>
      <c r="I73" t="s">
        <v>13</v>
      </c>
      <c r="J73" t="s">
        <v>14</v>
      </c>
      <c r="O73" t="b">
        <f>IF(COUNTIFS($F$2:F73, F73, $P$2:P73, TRUE)&gt;1,TRUE,FALSE)</f>
        <v>0</v>
      </c>
      <c r="P73" t="b">
        <f>OR(ISNUMBER(MATCH(Checklist[[#This Row],[Type]], $B$3:$B$22, 0)), Checklist[[#This Row],[Type]] = "*")</f>
        <v>0</v>
      </c>
    </row>
    <row r="74" spans="4:16" x14ac:dyDescent="0.2">
      <c r="D74" t="s">
        <v>8</v>
      </c>
      <c r="E74" t="s">
        <v>55</v>
      </c>
      <c r="F74" t="s">
        <v>410</v>
      </c>
      <c r="G74" t="s">
        <v>411</v>
      </c>
      <c r="H74" t="s">
        <v>412</v>
      </c>
      <c r="I74" t="s">
        <v>13</v>
      </c>
      <c r="J74" t="s">
        <v>14</v>
      </c>
      <c r="O74" t="b">
        <f>IF(COUNTIFS($F$2:F74, F74, $P$2:P74, TRUE)&gt;1,TRUE,FALSE)</f>
        <v>0</v>
      </c>
      <c r="P74" t="b">
        <f>OR(ISNUMBER(MATCH(Checklist[[#This Row],[Type]], $B$3:$B$22, 0)), Checklist[[#This Row],[Type]] = "*")</f>
        <v>0</v>
      </c>
    </row>
    <row r="75" spans="4:16" x14ac:dyDescent="0.2">
      <c r="D75" t="s">
        <v>8</v>
      </c>
      <c r="E75" t="s">
        <v>55</v>
      </c>
      <c r="F75" t="s">
        <v>413</v>
      </c>
      <c r="G75" t="s">
        <v>414</v>
      </c>
      <c r="H75" t="s">
        <v>415</v>
      </c>
      <c r="I75" t="s">
        <v>13</v>
      </c>
      <c r="J75" t="s">
        <v>14</v>
      </c>
      <c r="O75" t="b">
        <f>IF(COUNTIFS($F$2:F75, F75, $P$2:P75, TRUE)&gt;1,TRUE,FALSE)</f>
        <v>0</v>
      </c>
      <c r="P75" t="b">
        <f>OR(ISNUMBER(MATCH(Checklist[[#This Row],[Type]], $B$3:$B$22, 0)), Checklist[[#This Row],[Type]] = "*")</f>
        <v>0</v>
      </c>
    </row>
    <row r="76" spans="4:16" x14ac:dyDescent="0.2">
      <c r="D76" t="s">
        <v>8</v>
      </c>
      <c r="E76" t="s">
        <v>55</v>
      </c>
      <c r="F76" t="s">
        <v>416</v>
      </c>
      <c r="G76" t="s">
        <v>417</v>
      </c>
      <c r="H76" t="s">
        <v>418</v>
      </c>
      <c r="I76" t="s">
        <v>13</v>
      </c>
      <c r="J76" t="s">
        <v>14</v>
      </c>
      <c r="O76" t="b">
        <f>IF(COUNTIFS($F$2:F76, F76, $P$2:P76, TRUE)&gt;1,TRUE,FALSE)</f>
        <v>0</v>
      </c>
      <c r="P76" t="b">
        <f>OR(ISNUMBER(MATCH(Checklist[[#This Row],[Type]], $B$3:$B$22, 0)), Checklist[[#This Row],[Type]] = "*")</f>
        <v>0</v>
      </c>
    </row>
    <row r="77" spans="4:16" x14ac:dyDescent="0.2">
      <c r="D77" t="s">
        <v>8</v>
      </c>
      <c r="E77" t="s">
        <v>55</v>
      </c>
      <c r="F77" t="s">
        <v>469</v>
      </c>
      <c r="G77" t="s">
        <v>56</v>
      </c>
      <c r="H77" t="s">
        <v>57</v>
      </c>
      <c r="I77" t="s">
        <v>13</v>
      </c>
      <c r="J77" t="s">
        <v>14</v>
      </c>
      <c r="O77" t="b">
        <f>IF(COUNTIFS($F$2:F77, F77, $P$2:P77, TRUE)&gt;1,TRUE,FALSE)</f>
        <v>0</v>
      </c>
      <c r="P77" t="b">
        <f>OR(ISNUMBER(MATCH(Checklist[[#This Row],[Type]], $B$3:$B$22, 0)), Checklist[[#This Row],[Type]] = "*")</f>
        <v>0</v>
      </c>
    </row>
    <row r="78" spans="4:16" x14ac:dyDescent="0.2">
      <c r="D78" t="s">
        <v>8</v>
      </c>
      <c r="E78" t="s">
        <v>55</v>
      </c>
      <c r="F78" t="s">
        <v>470</v>
      </c>
      <c r="G78" t="s">
        <v>58</v>
      </c>
      <c r="H78" t="s">
        <v>59</v>
      </c>
      <c r="I78" t="s">
        <v>13</v>
      </c>
      <c r="J78" t="s">
        <v>14</v>
      </c>
      <c r="O78" t="b">
        <f>IF(COUNTIFS($F$2:F78, F78, $P$2:P78, TRUE)&gt;1,TRUE,FALSE)</f>
        <v>0</v>
      </c>
      <c r="P78" t="b">
        <f>OR(ISNUMBER(MATCH(Checklist[[#This Row],[Type]], $B$3:$B$22, 0)), Checklist[[#This Row],[Type]] = "*")</f>
        <v>0</v>
      </c>
    </row>
    <row r="79" spans="4:16" x14ac:dyDescent="0.2">
      <c r="D79" t="s">
        <v>8</v>
      </c>
      <c r="E79" t="s">
        <v>60</v>
      </c>
      <c r="F79" t="s">
        <v>471</v>
      </c>
      <c r="G79" t="s">
        <v>472</v>
      </c>
      <c r="H79" t="s">
        <v>473</v>
      </c>
      <c r="I79" t="s">
        <v>13</v>
      </c>
      <c r="J79" t="s">
        <v>14</v>
      </c>
      <c r="O79" t="b">
        <f>IF(COUNTIFS($F$2:F79, F79, $P$2:P79, TRUE)&gt;1,TRUE,FALSE)</f>
        <v>0</v>
      </c>
      <c r="P79" t="b">
        <f>OR(ISNUMBER(MATCH(Checklist[[#This Row],[Type]], $B$3:$B$22, 0)), Checklist[[#This Row],[Type]] = "*")</f>
        <v>0</v>
      </c>
    </row>
    <row r="80" spans="4:16" x14ac:dyDescent="0.2">
      <c r="D80" t="s">
        <v>8</v>
      </c>
      <c r="E80" t="s">
        <v>60</v>
      </c>
      <c r="F80" t="s">
        <v>474</v>
      </c>
      <c r="G80" t="s">
        <v>475</v>
      </c>
      <c r="H80" t="s">
        <v>476</v>
      </c>
      <c r="I80" t="s">
        <v>13</v>
      </c>
      <c r="J80" t="s">
        <v>14</v>
      </c>
      <c r="O80" t="b">
        <f>IF(COUNTIFS($F$2:F80, F80, $P$2:P80, TRUE)&gt;1,TRUE,FALSE)</f>
        <v>0</v>
      </c>
      <c r="P80" t="b">
        <f>OR(ISNUMBER(MATCH(Checklist[[#This Row],[Type]], $B$3:$B$22, 0)), Checklist[[#This Row],[Type]] = "*")</f>
        <v>0</v>
      </c>
    </row>
    <row r="81" spans="4:16" x14ac:dyDescent="0.2">
      <c r="D81" t="s">
        <v>8</v>
      </c>
      <c r="E81" t="s">
        <v>60</v>
      </c>
      <c r="F81" t="s">
        <v>477</v>
      </c>
      <c r="G81" t="s">
        <v>478</v>
      </c>
      <c r="H81" t="s">
        <v>479</v>
      </c>
      <c r="I81" t="s">
        <v>13</v>
      </c>
      <c r="J81" t="s">
        <v>14</v>
      </c>
      <c r="O81" t="b">
        <f>IF(COUNTIFS($F$2:F81, F81, $P$2:P81, TRUE)&gt;1,TRUE,FALSE)</f>
        <v>0</v>
      </c>
      <c r="P81" t="b">
        <f>OR(ISNUMBER(MATCH(Checklist[[#This Row],[Type]], $B$3:$B$22, 0)), Checklist[[#This Row],[Type]] = "*")</f>
        <v>0</v>
      </c>
    </row>
    <row r="82" spans="4:16" x14ac:dyDescent="0.2">
      <c r="D82" t="s">
        <v>8</v>
      </c>
      <c r="E82" t="s">
        <v>61</v>
      </c>
      <c r="F82" t="s">
        <v>404</v>
      </c>
      <c r="G82" t="s">
        <v>405</v>
      </c>
      <c r="H82" t="s">
        <v>406</v>
      </c>
      <c r="I82" t="s">
        <v>13</v>
      </c>
      <c r="J82" t="s">
        <v>14</v>
      </c>
      <c r="O82" t="b">
        <f>IF(COUNTIFS($F$2:F82, F82, $P$2:P82, TRUE)&gt;1,TRUE,FALSE)</f>
        <v>0</v>
      </c>
      <c r="P82" t="b">
        <f>OR(ISNUMBER(MATCH(Checklist[[#This Row],[Type]], $B$3:$B$22, 0)), Checklist[[#This Row],[Type]] = "*")</f>
        <v>0</v>
      </c>
    </row>
    <row r="83" spans="4:16" x14ac:dyDescent="0.2">
      <c r="D83" t="s">
        <v>8</v>
      </c>
      <c r="E83" t="s">
        <v>61</v>
      </c>
      <c r="F83" t="s">
        <v>407</v>
      </c>
      <c r="G83" t="s">
        <v>408</v>
      </c>
      <c r="H83" t="s">
        <v>409</v>
      </c>
      <c r="I83" t="s">
        <v>13</v>
      </c>
      <c r="J83" t="s">
        <v>14</v>
      </c>
      <c r="O83" t="b">
        <f>IF(COUNTIFS($F$2:F83, F83, $P$2:P83, TRUE)&gt;1,TRUE,FALSE)</f>
        <v>0</v>
      </c>
      <c r="P83" t="b">
        <f>OR(ISNUMBER(MATCH(Checklist[[#This Row],[Type]], $B$3:$B$22, 0)), Checklist[[#This Row],[Type]] = "*")</f>
        <v>0</v>
      </c>
    </row>
    <row r="84" spans="4:16" x14ac:dyDescent="0.2">
      <c r="D84" t="s">
        <v>8</v>
      </c>
      <c r="E84" t="s">
        <v>61</v>
      </c>
      <c r="F84" t="s">
        <v>410</v>
      </c>
      <c r="G84" t="s">
        <v>411</v>
      </c>
      <c r="H84" t="s">
        <v>412</v>
      </c>
      <c r="I84" t="s">
        <v>13</v>
      </c>
      <c r="J84" t="s">
        <v>14</v>
      </c>
      <c r="O84" t="b">
        <f>IF(COUNTIFS($F$2:F84, F84, $P$2:P84, TRUE)&gt;1,TRUE,FALSE)</f>
        <v>0</v>
      </c>
      <c r="P84" t="b">
        <f>OR(ISNUMBER(MATCH(Checklist[[#This Row],[Type]], $B$3:$B$22, 0)), Checklist[[#This Row],[Type]] = "*")</f>
        <v>0</v>
      </c>
    </row>
    <row r="85" spans="4:16" x14ac:dyDescent="0.2">
      <c r="D85" t="s">
        <v>8</v>
      </c>
      <c r="E85" t="s">
        <v>61</v>
      </c>
      <c r="F85" t="s">
        <v>413</v>
      </c>
      <c r="G85" t="s">
        <v>414</v>
      </c>
      <c r="H85" t="s">
        <v>415</v>
      </c>
      <c r="I85" t="s">
        <v>13</v>
      </c>
      <c r="J85" t="s">
        <v>14</v>
      </c>
      <c r="O85" t="b">
        <f>IF(COUNTIFS($F$2:F85, F85, $P$2:P85, TRUE)&gt;1,TRUE,FALSE)</f>
        <v>0</v>
      </c>
      <c r="P85" t="b">
        <f>OR(ISNUMBER(MATCH(Checklist[[#This Row],[Type]], $B$3:$B$22, 0)), Checklist[[#This Row],[Type]] = "*")</f>
        <v>0</v>
      </c>
    </row>
    <row r="86" spans="4:16" x14ac:dyDescent="0.2">
      <c r="D86" t="s">
        <v>8</v>
      </c>
      <c r="E86" t="s">
        <v>61</v>
      </c>
      <c r="F86" t="s">
        <v>416</v>
      </c>
      <c r="G86" t="s">
        <v>417</v>
      </c>
      <c r="H86" t="s">
        <v>418</v>
      </c>
      <c r="I86" t="s">
        <v>13</v>
      </c>
      <c r="J86" t="s">
        <v>14</v>
      </c>
      <c r="O86" t="b">
        <f>IF(COUNTIFS($F$2:F86, F86, $P$2:P86, TRUE)&gt;1,TRUE,FALSE)</f>
        <v>0</v>
      </c>
      <c r="P86" t="b">
        <f>OR(ISNUMBER(MATCH(Checklist[[#This Row],[Type]], $B$3:$B$22, 0)), Checklist[[#This Row],[Type]] = "*")</f>
        <v>0</v>
      </c>
    </row>
    <row r="87" spans="4:16" x14ac:dyDescent="0.2">
      <c r="D87" t="s">
        <v>8</v>
      </c>
      <c r="E87" t="s">
        <v>61</v>
      </c>
      <c r="F87" t="s">
        <v>419</v>
      </c>
      <c r="G87" t="s">
        <v>420</v>
      </c>
      <c r="H87" t="s">
        <v>421</v>
      </c>
      <c r="I87" t="s">
        <v>13</v>
      </c>
      <c r="J87" t="s">
        <v>14</v>
      </c>
      <c r="O87" t="b">
        <f>IF(COUNTIFS($F$2:F87, F87, $P$2:P87, TRUE)&gt;1,TRUE,FALSE)</f>
        <v>0</v>
      </c>
      <c r="P87" t="b">
        <f>OR(ISNUMBER(MATCH(Checklist[[#This Row],[Type]], $B$3:$B$22, 0)), Checklist[[#This Row],[Type]] = "*")</f>
        <v>0</v>
      </c>
    </row>
    <row r="88" spans="4:16" x14ac:dyDescent="0.2">
      <c r="D88" t="s">
        <v>8</v>
      </c>
      <c r="E88" t="s">
        <v>61</v>
      </c>
      <c r="F88" t="s">
        <v>422</v>
      </c>
      <c r="G88" t="s">
        <v>423</v>
      </c>
      <c r="H88" t="s">
        <v>424</v>
      </c>
      <c r="I88" t="s">
        <v>13</v>
      </c>
      <c r="J88" t="s">
        <v>14</v>
      </c>
      <c r="O88" t="b">
        <f>IF(COUNTIFS($F$2:F88, F88, $P$2:P88, TRUE)&gt;1,TRUE,FALSE)</f>
        <v>0</v>
      </c>
      <c r="P88" t="b">
        <f>OR(ISNUMBER(MATCH(Checklist[[#This Row],[Type]], $B$3:$B$22, 0)), Checklist[[#This Row],[Type]] = "*")</f>
        <v>0</v>
      </c>
    </row>
    <row r="89" spans="4:16" x14ac:dyDescent="0.2">
      <c r="D89" t="s">
        <v>8</v>
      </c>
      <c r="E89" t="s">
        <v>61</v>
      </c>
      <c r="F89" t="s">
        <v>425</v>
      </c>
      <c r="G89" t="s">
        <v>204</v>
      </c>
      <c r="H89" t="s">
        <v>426</v>
      </c>
      <c r="I89" t="s">
        <v>13</v>
      </c>
      <c r="J89" t="s">
        <v>14</v>
      </c>
      <c r="O89" t="b">
        <f>IF(COUNTIFS($F$2:F89, F89, $P$2:P89, TRUE)&gt;1,TRUE,FALSE)</f>
        <v>0</v>
      </c>
      <c r="P89" t="b">
        <f>OR(ISNUMBER(MATCH(Checklist[[#This Row],[Type]], $B$3:$B$22, 0)), Checklist[[#This Row],[Type]] = "*")</f>
        <v>0</v>
      </c>
    </row>
    <row r="90" spans="4:16" x14ac:dyDescent="0.2">
      <c r="D90" t="s">
        <v>8</v>
      </c>
      <c r="E90" t="s">
        <v>61</v>
      </c>
      <c r="F90" t="s">
        <v>427</v>
      </c>
      <c r="G90" t="s">
        <v>133</v>
      </c>
      <c r="H90" t="s">
        <v>428</v>
      </c>
      <c r="I90" t="s">
        <v>13</v>
      </c>
      <c r="J90" t="s">
        <v>14</v>
      </c>
      <c r="O90" t="b">
        <f>IF(COUNTIFS($F$2:F90, F90, $P$2:P90, TRUE)&gt;1,TRUE,FALSE)</f>
        <v>0</v>
      </c>
      <c r="P90" t="b">
        <f>OR(ISNUMBER(MATCH(Checklist[[#This Row],[Type]], $B$3:$B$22, 0)), Checklist[[#This Row],[Type]] = "*")</f>
        <v>0</v>
      </c>
    </row>
    <row r="91" spans="4:16" x14ac:dyDescent="0.2">
      <c r="D91" t="s">
        <v>8</v>
      </c>
      <c r="E91" t="s">
        <v>61</v>
      </c>
      <c r="F91" t="s">
        <v>480</v>
      </c>
      <c r="G91" t="s">
        <v>481</v>
      </c>
      <c r="H91" t="s">
        <v>482</v>
      </c>
      <c r="I91" t="s">
        <v>13</v>
      </c>
      <c r="J91" t="s">
        <v>14</v>
      </c>
      <c r="O91" t="b">
        <f>IF(COUNTIFS($F$2:F91, F91, $P$2:P91, TRUE)&gt;1,TRUE,FALSE)</f>
        <v>0</v>
      </c>
      <c r="P91" t="b">
        <f>OR(ISNUMBER(MATCH(Checklist[[#This Row],[Type]], $B$3:$B$22, 0)), Checklist[[#This Row],[Type]] = "*")</f>
        <v>0</v>
      </c>
    </row>
    <row r="92" spans="4:16" x14ac:dyDescent="0.2">
      <c r="D92" t="s">
        <v>8</v>
      </c>
      <c r="E92" t="s">
        <v>61</v>
      </c>
      <c r="F92" t="s">
        <v>483</v>
      </c>
      <c r="G92" t="s">
        <v>445</v>
      </c>
      <c r="H92" t="s">
        <v>446</v>
      </c>
      <c r="I92" t="s">
        <v>13</v>
      </c>
      <c r="J92" t="s">
        <v>14</v>
      </c>
      <c r="O92" t="b">
        <f>IF(COUNTIFS($F$2:F92, F92, $P$2:P92, TRUE)&gt;1,TRUE,FALSE)</f>
        <v>0</v>
      </c>
      <c r="P92" t="b">
        <f>OR(ISNUMBER(MATCH(Checklist[[#This Row],[Type]], $B$3:$B$22, 0)), Checklist[[#This Row],[Type]] = "*")</f>
        <v>0</v>
      </c>
    </row>
    <row r="93" spans="4:16" x14ac:dyDescent="0.2">
      <c r="D93" t="s">
        <v>8</v>
      </c>
      <c r="E93" t="s">
        <v>61</v>
      </c>
      <c r="F93" t="s">
        <v>484</v>
      </c>
      <c r="G93" t="s">
        <v>56</v>
      </c>
      <c r="H93" t="s">
        <v>57</v>
      </c>
      <c r="I93" t="s">
        <v>13</v>
      </c>
      <c r="J93" t="s">
        <v>14</v>
      </c>
      <c r="O93" t="b">
        <f>IF(COUNTIFS($F$2:F93, F93, $P$2:P93, TRUE)&gt;1,TRUE,FALSE)</f>
        <v>0</v>
      </c>
      <c r="P93" t="b">
        <f>OR(ISNUMBER(MATCH(Checklist[[#This Row],[Type]], $B$3:$B$22, 0)), Checklist[[#This Row],[Type]] = "*")</f>
        <v>0</v>
      </c>
    </row>
    <row r="94" spans="4:16" x14ac:dyDescent="0.2">
      <c r="D94" t="s">
        <v>8</v>
      </c>
      <c r="E94" t="s">
        <v>61</v>
      </c>
      <c r="F94" t="s">
        <v>485</v>
      </c>
      <c r="G94" t="s">
        <v>486</v>
      </c>
      <c r="H94" t="s">
        <v>487</v>
      </c>
      <c r="I94" t="s">
        <v>13</v>
      </c>
      <c r="J94" t="s">
        <v>14</v>
      </c>
      <c r="O94" t="b">
        <f>IF(COUNTIFS($F$2:F94, F94, $P$2:P94, TRUE)&gt;1,TRUE,FALSE)</f>
        <v>0</v>
      </c>
      <c r="P94" t="b">
        <f>OR(ISNUMBER(MATCH(Checklist[[#This Row],[Type]], $B$3:$B$22, 0)), Checklist[[#This Row],[Type]] = "*")</f>
        <v>0</v>
      </c>
    </row>
    <row r="95" spans="4:16" x14ac:dyDescent="0.2">
      <c r="D95" t="s">
        <v>8</v>
      </c>
      <c r="E95" t="s">
        <v>836</v>
      </c>
      <c r="F95" t="s">
        <v>404</v>
      </c>
      <c r="G95" t="s">
        <v>405</v>
      </c>
      <c r="H95" t="s">
        <v>406</v>
      </c>
      <c r="I95" t="s">
        <v>13</v>
      </c>
      <c r="J95" t="s">
        <v>14</v>
      </c>
      <c r="O95" t="b">
        <f>IF(COUNTIFS($F$2:F95, F95, $P$2:P95, TRUE)&gt;1,TRUE,FALSE)</f>
        <v>0</v>
      </c>
      <c r="P95" t="b">
        <f>OR(ISNUMBER(MATCH(Checklist[[#This Row],[Type]], $B$3:$B$22, 0)), Checklist[[#This Row],[Type]] = "*")</f>
        <v>0</v>
      </c>
    </row>
    <row r="96" spans="4:16" x14ac:dyDescent="0.2">
      <c r="D96" t="s">
        <v>8</v>
      </c>
      <c r="E96" t="s">
        <v>836</v>
      </c>
      <c r="F96" t="s">
        <v>407</v>
      </c>
      <c r="G96" t="s">
        <v>408</v>
      </c>
      <c r="H96" t="s">
        <v>409</v>
      </c>
      <c r="I96" t="s">
        <v>13</v>
      </c>
      <c r="J96" t="s">
        <v>14</v>
      </c>
      <c r="O96" t="b">
        <f>IF(COUNTIFS($F$2:F96, F96, $P$2:P96, TRUE)&gt;1,TRUE,FALSE)</f>
        <v>0</v>
      </c>
      <c r="P96" t="b">
        <f>OR(ISNUMBER(MATCH(Checklist[[#This Row],[Type]], $B$3:$B$22, 0)), Checklist[[#This Row],[Type]] = "*")</f>
        <v>0</v>
      </c>
    </row>
    <row r="97" spans="4:16" x14ac:dyDescent="0.2">
      <c r="D97" t="s">
        <v>8</v>
      </c>
      <c r="E97" t="s">
        <v>836</v>
      </c>
      <c r="F97" t="s">
        <v>410</v>
      </c>
      <c r="G97" t="s">
        <v>411</v>
      </c>
      <c r="H97" t="s">
        <v>412</v>
      </c>
      <c r="I97" t="s">
        <v>13</v>
      </c>
      <c r="J97" t="s">
        <v>14</v>
      </c>
      <c r="O97" t="b">
        <f>IF(COUNTIFS($F$2:F97, F97, $P$2:P97, TRUE)&gt;1,TRUE,FALSE)</f>
        <v>0</v>
      </c>
      <c r="P97" t="b">
        <f>OR(ISNUMBER(MATCH(Checklist[[#This Row],[Type]], $B$3:$B$22, 0)), Checklist[[#This Row],[Type]] = "*")</f>
        <v>0</v>
      </c>
    </row>
    <row r="98" spans="4:16" x14ac:dyDescent="0.2">
      <c r="D98" t="s">
        <v>8</v>
      </c>
      <c r="E98" t="s">
        <v>836</v>
      </c>
      <c r="F98" t="s">
        <v>413</v>
      </c>
      <c r="G98" t="s">
        <v>414</v>
      </c>
      <c r="H98" t="s">
        <v>415</v>
      </c>
      <c r="I98" t="s">
        <v>13</v>
      </c>
      <c r="J98" t="s">
        <v>14</v>
      </c>
      <c r="O98" t="b">
        <f>IF(COUNTIFS($F$2:F98, F98, $P$2:P98, TRUE)&gt;1,TRUE,FALSE)</f>
        <v>0</v>
      </c>
      <c r="P98" t="b">
        <f>OR(ISNUMBER(MATCH(Checklist[[#This Row],[Type]], $B$3:$B$22, 0)), Checklist[[#This Row],[Type]] = "*")</f>
        <v>0</v>
      </c>
    </row>
    <row r="99" spans="4:16" x14ac:dyDescent="0.2">
      <c r="D99" t="s">
        <v>8</v>
      </c>
      <c r="E99" t="s">
        <v>836</v>
      </c>
      <c r="F99" t="s">
        <v>416</v>
      </c>
      <c r="G99" t="s">
        <v>417</v>
      </c>
      <c r="H99" t="s">
        <v>418</v>
      </c>
      <c r="I99" t="s">
        <v>13</v>
      </c>
      <c r="J99" t="s">
        <v>14</v>
      </c>
      <c r="O99" t="b">
        <f>IF(COUNTIFS($F$2:F99, F99, $P$2:P99, TRUE)&gt;1,TRUE,FALSE)</f>
        <v>0</v>
      </c>
      <c r="P99" t="b">
        <f>OR(ISNUMBER(MATCH(Checklist[[#This Row],[Type]], $B$3:$B$22, 0)), Checklist[[#This Row],[Type]] = "*")</f>
        <v>0</v>
      </c>
    </row>
    <row r="100" spans="4:16" x14ac:dyDescent="0.2">
      <c r="D100" t="s">
        <v>8</v>
      </c>
      <c r="E100" t="s">
        <v>836</v>
      </c>
      <c r="F100" t="s">
        <v>419</v>
      </c>
      <c r="G100" t="s">
        <v>420</v>
      </c>
      <c r="H100" t="s">
        <v>421</v>
      </c>
      <c r="I100" t="s">
        <v>13</v>
      </c>
      <c r="J100" t="s">
        <v>14</v>
      </c>
      <c r="O100" t="b">
        <f>IF(COUNTIFS($F$2:F100, F100, $P$2:P100, TRUE)&gt;1,TRUE,FALSE)</f>
        <v>0</v>
      </c>
      <c r="P100" t="b">
        <f>OR(ISNUMBER(MATCH(Checklist[[#This Row],[Type]], $B$3:$B$22, 0)), Checklist[[#This Row],[Type]] = "*")</f>
        <v>0</v>
      </c>
    </row>
    <row r="101" spans="4:16" x14ac:dyDescent="0.2">
      <c r="D101" t="s">
        <v>8</v>
      </c>
      <c r="E101" t="s">
        <v>836</v>
      </c>
      <c r="F101" t="s">
        <v>422</v>
      </c>
      <c r="G101" t="s">
        <v>423</v>
      </c>
      <c r="H101" t="s">
        <v>424</v>
      </c>
      <c r="I101" t="s">
        <v>13</v>
      </c>
      <c r="J101" t="s">
        <v>14</v>
      </c>
      <c r="O101" t="b">
        <f>IF(COUNTIFS($F$2:F101, F101, $P$2:P101, TRUE)&gt;1,TRUE,FALSE)</f>
        <v>0</v>
      </c>
      <c r="P101" t="b">
        <f>OR(ISNUMBER(MATCH(Checklist[[#This Row],[Type]], $B$3:$B$22, 0)), Checklist[[#This Row],[Type]] = "*")</f>
        <v>0</v>
      </c>
    </row>
    <row r="102" spans="4:16" x14ac:dyDescent="0.2">
      <c r="D102" t="s">
        <v>8</v>
      </c>
      <c r="E102" t="s">
        <v>836</v>
      </c>
      <c r="F102" t="s">
        <v>427</v>
      </c>
      <c r="G102" t="s">
        <v>133</v>
      </c>
      <c r="H102" t="s">
        <v>428</v>
      </c>
      <c r="I102" t="s">
        <v>13</v>
      </c>
      <c r="J102" t="s">
        <v>14</v>
      </c>
      <c r="O102" t="b">
        <f>IF(COUNTIFS($F$2:F102, F102, $P$2:P102, TRUE)&gt;1,TRUE,FALSE)</f>
        <v>0</v>
      </c>
      <c r="P102" t="b">
        <f>OR(ISNUMBER(MATCH(Checklist[[#This Row],[Type]], $B$3:$B$22, 0)), Checklist[[#This Row],[Type]] = "*")</f>
        <v>0</v>
      </c>
    </row>
    <row r="103" spans="4:16" x14ac:dyDescent="0.2">
      <c r="D103" t="s">
        <v>8</v>
      </c>
      <c r="E103" t="s">
        <v>836</v>
      </c>
      <c r="F103" t="s">
        <v>488</v>
      </c>
      <c r="G103" t="s">
        <v>442</v>
      </c>
      <c r="H103" t="s">
        <v>443</v>
      </c>
      <c r="I103" t="s">
        <v>13</v>
      </c>
      <c r="J103" t="s">
        <v>14</v>
      </c>
      <c r="O103" t="b">
        <f>IF(COUNTIFS($F$2:F103, F103, $P$2:P103, TRUE)&gt;1,TRUE,FALSE)</f>
        <v>0</v>
      </c>
      <c r="P103" t="b">
        <f>OR(ISNUMBER(MATCH(Checklist[[#This Row],[Type]], $B$3:$B$22, 0)), Checklist[[#This Row],[Type]] = "*")</f>
        <v>0</v>
      </c>
    </row>
    <row r="104" spans="4:16" x14ac:dyDescent="0.2">
      <c r="D104" t="s">
        <v>8</v>
      </c>
      <c r="E104" t="s">
        <v>836</v>
      </c>
      <c r="F104" t="s">
        <v>489</v>
      </c>
      <c r="G104" t="s">
        <v>490</v>
      </c>
      <c r="H104" t="s">
        <v>491</v>
      </c>
      <c r="I104" t="s">
        <v>13</v>
      </c>
      <c r="J104" t="s">
        <v>14</v>
      </c>
      <c r="O104" t="b">
        <f>IF(COUNTIFS($F$2:F104, F104, $P$2:P104, TRUE)&gt;1,TRUE,FALSE)</f>
        <v>0</v>
      </c>
      <c r="P104" t="b">
        <f>OR(ISNUMBER(MATCH(Checklist[[#This Row],[Type]], $B$3:$B$22, 0)), Checklist[[#This Row],[Type]] = "*")</f>
        <v>0</v>
      </c>
    </row>
    <row r="105" spans="4:16" x14ac:dyDescent="0.2">
      <c r="D105" t="s">
        <v>8</v>
      </c>
      <c r="E105" t="s">
        <v>836</v>
      </c>
      <c r="F105" t="s">
        <v>492</v>
      </c>
      <c r="G105" t="s">
        <v>423</v>
      </c>
      <c r="H105" t="s">
        <v>424</v>
      </c>
      <c r="I105" t="s">
        <v>13</v>
      </c>
      <c r="J105" t="s">
        <v>14</v>
      </c>
      <c r="O105" t="b">
        <f>IF(COUNTIFS($F$2:F105, F105, $P$2:P105, TRUE)&gt;1,TRUE,FALSE)</f>
        <v>0</v>
      </c>
      <c r="P105" t="b">
        <f>OR(ISNUMBER(MATCH(Checklist[[#This Row],[Type]], $B$3:$B$22, 0)), Checklist[[#This Row],[Type]] = "*")</f>
        <v>0</v>
      </c>
    </row>
    <row r="106" spans="4:16" x14ac:dyDescent="0.2">
      <c r="D106" t="s">
        <v>8</v>
      </c>
      <c r="E106" t="s">
        <v>836</v>
      </c>
      <c r="F106" t="s">
        <v>493</v>
      </c>
      <c r="G106" t="s">
        <v>204</v>
      </c>
      <c r="H106" t="s">
        <v>426</v>
      </c>
      <c r="I106" t="s">
        <v>13</v>
      </c>
      <c r="J106" t="s">
        <v>14</v>
      </c>
      <c r="O106" t="b">
        <f>IF(COUNTIFS($F$2:F106, F106, $P$2:P106, TRUE)&gt;1,TRUE,FALSE)</f>
        <v>0</v>
      </c>
      <c r="P106" t="b">
        <f>OR(ISNUMBER(MATCH(Checklist[[#This Row],[Type]], $B$3:$B$22, 0)), Checklist[[#This Row],[Type]] = "*")</f>
        <v>0</v>
      </c>
    </row>
    <row r="107" spans="4:16" x14ac:dyDescent="0.2">
      <c r="D107" t="s">
        <v>8</v>
      </c>
      <c r="E107" t="s">
        <v>836</v>
      </c>
      <c r="F107" t="s">
        <v>494</v>
      </c>
      <c r="G107" t="s">
        <v>495</v>
      </c>
      <c r="H107" t="s">
        <v>496</v>
      </c>
      <c r="I107" t="s">
        <v>13</v>
      </c>
      <c r="J107" t="s">
        <v>14</v>
      </c>
      <c r="O107" t="b">
        <f>IF(COUNTIFS($F$2:F107, F107, $P$2:P107, TRUE)&gt;1,TRUE,FALSE)</f>
        <v>0</v>
      </c>
      <c r="P107" t="b">
        <f>OR(ISNUMBER(MATCH(Checklist[[#This Row],[Type]], $B$3:$B$22, 0)), Checklist[[#This Row],[Type]] = "*")</f>
        <v>0</v>
      </c>
    </row>
    <row r="108" spans="4:16" x14ac:dyDescent="0.2">
      <c r="D108" t="s">
        <v>8</v>
      </c>
      <c r="E108" t="s">
        <v>836</v>
      </c>
      <c r="F108" t="s">
        <v>497</v>
      </c>
      <c r="G108" t="s">
        <v>62</v>
      </c>
      <c r="H108" t="s">
        <v>63</v>
      </c>
      <c r="I108" t="s">
        <v>13</v>
      </c>
      <c r="J108" t="s">
        <v>14</v>
      </c>
      <c r="O108" t="b">
        <f>IF(COUNTIFS($F$2:F108, F108, $P$2:P108, TRUE)&gt;1,TRUE,FALSE)</f>
        <v>0</v>
      </c>
      <c r="P108" t="b">
        <f>OR(ISNUMBER(MATCH(Checklist[[#This Row],[Type]], $B$3:$B$22, 0)), Checklist[[#This Row],[Type]] = "*")</f>
        <v>0</v>
      </c>
    </row>
    <row r="109" spans="4:16" x14ac:dyDescent="0.2">
      <c r="D109" t="s">
        <v>8</v>
      </c>
      <c r="E109" t="s">
        <v>836</v>
      </c>
      <c r="F109" t="s">
        <v>498</v>
      </c>
      <c r="G109" t="s">
        <v>486</v>
      </c>
      <c r="H109" t="s">
        <v>487</v>
      </c>
      <c r="I109" t="s">
        <v>13</v>
      </c>
      <c r="J109" t="s">
        <v>14</v>
      </c>
      <c r="O109" t="b">
        <f>IF(COUNTIFS($F$2:F109, F109, $P$2:P109, TRUE)&gt;1,TRUE,FALSE)</f>
        <v>0</v>
      </c>
      <c r="P109" t="b">
        <f>OR(ISNUMBER(MATCH(Checklist[[#This Row],[Type]], $B$3:$B$22, 0)), Checklist[[#This Row],[Type]] = "*")</f>
        <v>0</v>
      </c>
    </row>
    <row r="110" spans="4:16" x14ac:dyDescent="0.2">
      <c r="D110" t="s">
        <v>8</v>
      </c>
      <c r="E110" t="s">
        <v>836</v>
      </c>
      <c r="F110" t="s">
        <v>499</v>
      </c>
      <c r="G110" t="s">
        <v>500</v>
      </c>
      <c r="H110" t="s">
        <v>501</v>
      </c>
      <c r="I110" t="s">
        <v>13</v>
      </c>
      <c r="J110" t="s">
        <v>14</v>
      </c>
      <c r="O110" t="b">
        <f>IF(COUNTIFS($F$2:F110, F110, $P$2:P110, TRUE)&gt;1,TRUE,FALSE)</f>
        <v>0</v>
      </c>
      <c r="P110" t="b">
        <f>OR(ISNUMBER(MATCH(Checklist[[#This Row],[Type]], $B$3:$B$22, 0)), Checklist[[#This Row],[Type]] = "*")</f>
        <v>0</v>
      </c>
    </row>
    <row r="111" spans="4:16" x14ac:dyDescent="0.2">
      <c r="D111" t="s">
        <v>8</v>
      </c>
      <c r="E111" t="s">
        <v>836</v>
      </c>
      <c r="F111" t="s">
        <v>502</v>
      </c>
      <c r="G111" t="s">
        <v>503</v>
      </c>
      <c r="H111" t="s">
        <v>504</v>
      </c>
      <c r="I111" t="s">
        <v>13</v>
      </c>
      <c r="J111" t="s">
        <v>14</v>
      </c>
      <c r="O111" t="b">
        <f>IF(COUNTIFS($F$2:F111, F111, $P$2:P111, TRUE)&gt;1,TRUE,FALSE)</f>
        <v>0</v>
      </c>
      <c r="P111" t="b">
        <f>OR(ISNUMBER(MATCH(Checklist[[#This Row],[Type]], $B$3:$B$22, 0)), Checklist[[#This Row],[Type]] = "*")</f>
        <v>0</v>
      </c>
    </row>
    <row r="112" spans="4:16" x14ac:dyDescent="0.2">
      <c r="D112" t="s">
        <v>8</v>
      </c>
      <c r="E112" t="s">
        <v>836</v>
      </c>
      <c r="F112" t="s">
        <v>505</v>
      </c>
      <c r="G112" t="s">
        <v>506</v>
      </c>
      <c r="H112" t="s">
        <v>507</v>
      </c>
      <c r="I112" t="s">
        <v>13</v>
      </c>
      <c r="J112" t="s">
        <v>14</v>
      </c>
      <c r="O112" t="b">
        <f>IF(COUNTIFS($F$2:F112, F112, $P$2:P112, TRUE)&gt;1,TRUE,FALSE)</f>
        <v>0</v>
      </c>
      <c r="P112" t="b">
        <f>OR(ISNUMBER(MATCH(Checklist[[#This Row],[Type]], $B$3:$B$22, 0)), Checklist[[#This Row],[Type]] = "*")</f>
        <v>0</v>
      </c>
    </row>
    <row r="113" spans="4:16" x14ac:dyDescent="0.2">
      <c r="D113" t="s">
        <v>8</v>
      </c>
      <c r="E113" t="s">
        <v>836</v>
      </c>
      <c r="F113" t="s">
        <v>508</v>
      </c>
      <c r="G113" t="s">
        <v>509</v>
      </c>
      <c r="H113" t="s">
        <v>510</v>
      </c>
      <c r="I113" t="s">
        <v>13</v>
      </c>
      <c r="J113" t="s">
        <v>14</v>
      </c>
      <c r="O113" t="b">
        <f>IF(COUNTIFS($F$2:F113, F113, $P$2:P113, TRUE)&gt;1,TRUE,FALSE)</f>
        <v>0</v>
      </c>
      <c r="P113" t="b">
        <f>OR(ISNUMBER(MATCH(Checklist[[#This Row],[Type]], $B$3:$B$22, 0)), Checklist[[#This Row],[Type]] = "*")</f>
        <v>0</v>
      </c>
    </row>
    <row r="114" spans="4:16" x14ac:dyDescent="0.2">
      <c r="D114" t="s">
        <v>8</v>
      </c>
      <c r="E114" t="s">
        <v>836</v>
      </c>
      <c r="F114" t="s">
        <v>511</v>
      </c>
      <c r="G114" t="s">
        <v>56</v>
      </c>
      <c r="H114" t="s">
        <v>57</v>
      </c>
      <c r="I114" t="s">
        <v>13</v>
      </c>
      <c r="J114" t="s">
        <v>14</v>
      </c>
      <c r="O114" t="b">
        <f>IF(COUNTIFS($F$2:F114, F114, $P$2:P114, TRUE)&gt;1,TRUE,FALSE)</f>
        <v>0</v>
      </c>
      <c r="P114" t="b">
        <f>OR(ISNUMBER(MATCH(Checklist[[#This Row],[Type]], $B$3:$B$22, 0)), Checklist[[#This Row],[Type]] = "*")</f>
        <v>0</v>
      </c>
    </row>
    <row r="115" spans="4:16" x14ac:dyDescent="0.2">
      <c r="D115" t="s">
        <v>8</v>
      </c>
      <c r="E115" t="s">
        <v>836</v>
      </c>
      <c r="F115" t="s">
        <v>512</v>
      </c>
      <c r="G115" t="s">
        <v>96</v>
      </c>
      <c r="H115" t="s">
        <v>97</v>
      </c>
      <c r="I115" t="s">
        <v>13</v>
      </c>
      <c r="J115" t="s">
        <v>14</v>
      </c>
      <c r="O115" t="b">
        <f>IF(COUNTIFS($F$2:F115, F115, $P$2:P115, TRUE)&gt;1,TRUE,FALSE)</f>
        <v>0</v>
      </c>
      <c r="P115" t="b">
        <f>OR(ISNUMBER(MATCH(Checklist[[#This Row],[Type]], $B$3:$B$22, 0)), Checklist[[#This Row],[Type]] = "*")</f>
        <v>0</v>
      </c>
    </row>
    <row r="116" spans="4:16" x14ac:dyDescent="0.2">
      <c r="D116" t="s">
        <v>8</v>
      </c>
      <c r="E116" t="s">
        <v>836</v>
      </c>
      <c r="F116" t="s">
        <v>840</v>
      </c>
      <c r="G116" t="s">
        <v>841</v>
      </c>
      <c r="H116" t="s">
        <v>842</v>
      </c>
      <c r="I116" t="s">
        <v>13</v>
      </c>
      <c r="J116" t="s">
        <v>14</v>
      </c>
      <c r="O116" t="b">
        <f>IF(COUNTIFS($F$2:F116, F116, $P$2:P116, TRUE)&gt;1,TRUE,FALSE)</f>
        <v>0</v>
      </c>
      <c r="P116" t="b">
        <f>OR(ISNUMBER(MATCH(Checklist[[#This Row],[Type]], $B$3:$B$22, 0)), Checklist[[#This Row],[Type]] = "*")</f>
        <v>0</v>
      </c>
    </row>
    <row r="117" spans="4:16" x14ac:dyDescent="0.2">
      <c r="D117" t="s">
        <v>8</v>
      </c>
      <c r="E117" t="s">
        <v>64</v>
      </c>
      <c r="F117" t="s">
        <v>447</v>
      </c>
      <c r="G117" t="s">
        <v>448</v>
      </c>
      <c r="H117" t="s">
        <v>449</v>
      </c>
      <c r="I117" t="s">
        <v>13</v>
      </c>
      <c r="J117" t="s">
        <v>14</v>
      </c>
      <c r="O117" t="b">
        <f>IF(COUNTIFS($F$2:F117, F117, $P$2:P117, TRUE)&gt;1,TRUE,FALSE)</f>
        <v>0</v>
      </c>
      <c r="P117" t="b">
        <f>OR(ISNUMBER(MATCH(Checklist[[#This Row],[Type]], $B$3:$B$22, 0)), Checklist[[#This Row],[Type]] = "*")</f>
        <v>0</v>
      </c>
    </row>
    <row r="118" spans="4:16" x14ac:dyDescent="0.2">
      <c r="D118" t="s">
        <v>8</v>
      </c>
      <c r="E118" t="s">
        <v>64</v>
      </c>
      <c r="F118" t="s">
        <v>450</v>
      </c>
      <c r="G118" t="s">
        <v>451</v>
      </c>
      <c r="H118" t="s">
        <v>452</v>
      </c>
      <c r="I118" t="s">
        <v>13</v>
      </c>
      <c r="J118" t="s">
        <v>14</v>
      </c>
      <c r="O118" t="b">
        <f>IF(COUNTIFS($F$2:F118, F118, $P$2:P118, TRUE)&gt;1,TRUE,FALSE)</f>
        <v>0</v>
      </c>
      <c r="P118" t="b">
        <f>OR(ISNUMBER(MATCH(Checklist[[#This Row],[Type]], $B$3:$B$22, 0)), Checklist[[#This Row],[Type]] = "*")</f>
        <v>0</v>
      </c>
    </row>
    <row r="119" spans="4:16" x14ac:dyDescent="0.2">
      <c r="D119" t="s">
        <v>8</v>
      </c>
      <c r="E119" t="s">
        <v>64</v>
      </c>
      <c r="F119" t="s">
        <v>453</v>
      </c>
      <c r="G119" t="s">
        <v>454</v>
      </c>
      <c r="H119" t="s">
        <v>455</v>
      </c>
      <c r="I119" t="s">
        <v>13</v>
      </c>
      <c r="J119" t="s">
        <v>14</v>
      </c>
      <c r="O119" t="b">
        <f>IF(COUNTIFS($F$2:F119, F119, $P$2:P119, TRUE)&gt;1,TRUE,FALSE)</f>
        <v>0</v>
      </c>
      <c r="P119" t="b">
        <f>OR(ISNUMBER(MATCH(Checklist[[#This Row],[Type]], $B$3:$B$22, 0)), Checklist[[#This Row],[Type]] = "*")</f>
        <v>0</v>
      </c>
    </row>
    <row r="120" spans="4:16" x14ac:dyDescent="0.2">
      <c r="D120" t="s">
        <v>8</v>
      </c>
      <c r="E120" t="s">
        <v>64</v>
      </c>
      <c r="F120" t="s">
        <v>456</v>
      </c>
      <c r="G120" t="s">
        <v>457</v>
      </c>
      <c r="H120" t="s">
        <v>813</v>
      </c>
      <c r="I120" t="s">
        <v>13</v>
      </c>
      <c r="J120" t="s">
        <v>14</v>
      </c>
      <c r="O120" t="b">
        <f>IF(COUNTIFS($F$2:F120, F120, $P$2:P120, TRUE)&gt;1,TRUE,FALSE)</f>
        <v>0</v>
      </c>
      <c r="P120" t="b">
        <f>OR(ISNUMBER(MATCH(Checklist[[#This Row],[Type]], $B$3:$B$22, 0)), Checklist[[#This Row],[Type]] = "*")</f>
        <v>0</v>
      </c>
    </row>
    <row r="121" spans="4:16" x14ac:dyDescent="0.2">
      <c r="D121" t="s">
        <v>8</v>
      </c>
      <c r="E121" t="s">
        <v>64</v>
      </c>
      <c r="F121" t="s">
        <v>799</v>
      </c>
      <c r="G121" t="s">
        <v>800</v>
      </c>
      <c r="H121" t="s">
        <v>801</v>
      </c>
      <c r="I121" t="s">
        <v>13</v>
      </c>
      <c r="J121" t="s">
        <v>14</v>
      </c>
      <c r="O121" t="b">
        <f>IF(COUNTIFS($F$2:F121, F121, $P$2:P121, TRUE)&gt;1,TRUE,FALSE)</f>
        <v>0</v>
      </c>
      <c r="P121" t="b">
        <f>OR(ISNUMBER(MATCH(Checklist[[#This Row],[Type]], $B$3:$B$22, 0)), Checklist[[#This Row],[Type]] = "*")</f>
        <v>0</v>
      </c>
    </row>
    <row r="122" spans="4:16" x14ac:dyDescent="0.2">
      <c r="D122" t="s">
        <v>8</v>
      </c>
      <c r="E122" t="s">
        <v>64</v>
      </c>
      <c r="F122" t="s">
        <v>458</v>
      </c>
      <c r="G122" t="s">
        <v>56</v>
      </c>
      <c r="H122" t="s">
        <v>57</v>
      </c>
      <c r="I122" t="s">
        <v>13</v>
      </c>
      <c r="J122" t="s">
        <v>14</v>
      </c>
      <c r="O122" t="b">
        <f>IF(COUNTIFS($F$2:F122, F122, $P$2:P122, TRUE)&gt;1,TRUE,FALSE)</f>
        <v>0</v>
      </c>
      <c r="P122" t="b">
        <f>OR(ISNUMBER(MATCH(Checklist[[#This Row],[Type]], $B$3:$B$22, 0)), Checklist[[#This Row],[Type]] = "*")</f>
        <v>0</v>
      </c>
    </row>
    <row r="123" spans="4:16" x14ac:dyDescent="0.2">
      <c r="D123" t="s">
        <v>8</v>
      </c>
      <c r="E123" t="s">
        <v>64</v>
      </c>
      <c r="F123" t="s">
        <v>459</v>
      </c>
      <c r="G123" t="s">
        <v>460</v>
      </c>
      <c r="H123" t="s">
        <v>461</v>
      </c>
      <c r="I123" t="s">
        <v>13</v>
      </c>
      <c r="J123" t="s">
        <v>14</v>
      </c>
      <c r="O123" t="b">
        <f>IF(COUNTIFS($F$2:F123, F123, $P$2:P123, TRUE)&gt;1,TRUE,FALSE)</f>
        <v>0</v>
      </c>
      <c r="P123" t="b">
        <f>OR(ISNUMBER(MATCH(Checklist[[#This Row],[Type]], $B$3:$B$22, 0)), Checklist[[#This Row],[Type]] = "*")</f>
        <v>0</v>
      </c>
    </row>
    <row r="124" spans="4:16" x14ac:dyDescent="0.2">
      <c r="D124" t="s">
        <v>8</v>
      </c>
      <c r="E124" t="s">
        <v>64</v>
      </c>
      <c r="F124" t="s">
        <v>462</v>
      </c>
      <c r="G124" t="s">
        <v>423</v>
      </c>
      <c r="H124" t="s">
        <v>424</v>
      </c>
      <c r="I124" t="s">
        <v>13</v>
      </c>
      <c r="J124" t="s">
        <v>14</v>
      </c>
      <c r="O124" t="b">
        <f>IF(COUNTIFS($F$2:F124, F124, $P$2:P124, TRUE)&gt;1,TRUE,FALSE)</f>
        <v>0</v>
      </c>
      <c r="P124" t="b">
        <f>OR(ISNUMBER(MATCH(Checklist[[#This Row],[Type]], $B$3:$B$22, 0)), Checklist[[#This Row],[Type]] = "*")</f>
        <v>0</v>
      </c>
    </row>
    <row r="125" spans="4:16" x14ac:dyDescent="0.2">
      <c r="D125" t="s">
        <v>8</v>
      </c>
      <c r="E125" t="s">
        <v>64</v>
      </c>
      <c r="F125" t="s">
        <v>513</v>
      </c>
      <c r="G125" t="s">
        <v>96</v>
      </c>
      <c r="H125" t="s">
        <v>97</v>
      </c>
      <c r="I125" t="s">
        <v>13</v>
      </c>
      <c r="J125" t="s">
        <v>14</v>
      </c>
      <c r="O125" t="b">
        <f>IF(COUNTIFS($F$2:F125, F125, $P$2:P125, TRUE)&gt;1,TRUE,FALSE)</f>
        <v>0</v>
      </c>
      <c r="P125" t="b">
        <f>OR(ISNUMBER(MATCH(Checklist[[#This Row],[Type]], $B$3:$B$22, 0)), Checklist[[#This Row],[Type]] = "*")</f>
        <v>0</v>
      </c>
    </row>
    <row r="126" spans="4:16" x14ac:dyDescent="0.2">
      <c r="D126" t="s">
        <v>8</v>
      </c>
      <c r="E126" t="s">
        <v>64</v>
      </c>
      <c r="F126" t="s">
        <v>514</v>
      </c>
      <c r="G126" t="s">
        <v>56</v>
      </c>
      <c r="H126" t="s">
        <v>57</v>
      </c>
      <c r="I126" t="s">
        <v>13</v>
      </c>
      <c r="J126" t="s">
        <v>14</v>
      </c>
      <c r="O126" t="b">
        <f>IF(COUNTIFS($F$2:F126, F126, $P$2:P126, TRUE)&gt;1,TRUE,FALSE)</f>
        <v>0</v>
      </c>
      <c r="P126" t="b">
        <f>OR(ISNUMBER(MATCH(Checklist[[#This Row],[Type]], $B$3:$B$22, 0)), Checklist[[#This Row],[Type]] = "*")</f>
        <v>0</v>
      </c>
    </row>
    <row r="127" spans="4:16" x14ac:dyDescent="0.2">
      <c r="D127" t="s">
        <v>8</v>
      </c>
      <c r="E127" t="s">
        <v>66</v>
      </c>
      <c r="F127" t="s">
        <v>404</v>
      </c>
      <c r="G127" t="s">
        <v>405</v>
      </c>
      <c r="H127" t="s">
        <v>406</v>
      </c>
      <c r="I127" t="s">
        <v>13</v>
      </c>
      <c r="J127" t="s">
        <v>14</v>
      </c>
      <c r="O127" t="b">
        <f>IF(COUNTIFS($F$2:F127, F127, $P$2:P127, TRUE)&gt;1,TRUE,FALSE)</f>
        <v>0</v>
      </c>
      <c r="P127" t="b">
        <f>OR(ISNUMBER(MATCH(Checklist[[#This Row],[Type]], $B$3:$B$22, 0)), Checklist[[#This Row],[Type]] = "*")</f>
        <v>0</v>
      </c>
    </row>
    <row r="128" spans="4:16" x14ac:dyDescent="0.2">
      <c r="D128" t="s">
        <v>8</v>
      </c>
      <c r="E128" t="s">
        <v>66</v>
      </c>
      <c r="F128" t="s">
        <v>407</v>
      </c>
      <c r="G128" t="s">
        <v>408</v>
      </c>
      <c r="H128" t="s">
        <v>409</v>
      </c>
      <c r="I128" t="s">
        <v>13</v>
      </c>
      <c r="J128" t="s">
        <v>14</v>
      </c>
      <c r="O128" t="b">
        <f>IF(COUNTIFS($F$2:F128, F128, $P$2:P128, TRUE)&gt;1,TRUE,FALSE)</f>
        <v>0</v>
      </c>
      <c r="P128" t="b">
        <f>OR(ISNUMBER(MATCH(Checklist[[#This Row],[Type]], $B$3:$B$22, 0)), Checklist[[#This Row],[Type]] = "*")</f>
        <v>0</v>
      </c>
    </row>
    <row r="129" spans="4:16" x14ac:dyDescent="0.2">
      <c r="D129" t="s">
        <v>8</v>
      </c>
      <c r="E129" t="s">
        <v>66</v>
      </c>
      <c r="F129" t="s">
        <v>410</v>
      </c>
      <c r="G129" t="s">
        <v>411</v>
      </c>
      <c r="H129" t="s">
        <v>412</v>
      </c>
      <c r="I129" t="s">
        <v>13</v>
      </c>
      <c r="J129" t="s">
        <v>14</v>
      </c>
      <c r="O129" t="b">
        <f>IF(COUNTIFS($F$2:F129, F129, $P$2:P129, TRUE)&gt;1,TRUE,FALSE)</f>
        <v>0</v>
      </c>
      <c r="P129" t="b">
        <f>OR(ISNUMBER(MATCH(Checklist[[#This Row],[Type]], $B$3:$B$22, 0)), Checklist[[#This Row],[Type]] = "*")</f>
        <v>0</v>
      </c>
    </row>
    <row r="130" spans="4:16" x14ac:dyDescent="0.2">
      <c r="D130" t="s">
        <v>8</v>
      </c>
      <c r="E130" t="s">
        <v>66</v>
      </c>
      <c r="F130" t="s">
        <v>425</v>
      </c>
      <c r="G130" t="s">
        <v>204</v>
      </c>
      <c r="H130" t="s">
        <v>426</v>
      </c>
      <c r="I130" t="s">
        <v>13</v>
      </c>
      <c r="J130" t="s">
        <v>14</v>
      </c>
      <c r="O130" t="b">
        <f>IF(COUNTIFS($F$2:F130, F130, $P$2:P130, TRUE)&gt;1,TRUE,FALSE)</f>
        <v>0</v>
      </c>
      <c r="P130" t="b">
        <f>OR(ISNUMBER(MATCH(Checklist[[#This Row],[Type]], $B$3:$B$22, 0)), Checklist[[#This Row],[Type]] = "*")</f>
        <v>0</v>
      </c>
    </row>
    <row r="131" spans="4:16" x14ac:dyDescent="0.2">
      <c r="D131" t="s">
        <v>8</v>
      </c>
      <c r="E131" t="s">
        <v>66</v>
      </c>
      <c r="F131" t="s">
        <v>515</v>
      </c>
      <c r="G131" t="s">
        <v>516</v>
      </c>
      <c r="H131" t="s">
        <v>517</v>
      </c>
      <c r="I131" t="s">
        <v>13</v>
      </c>
      <c r="J131" t="s">
        <v>14</v>
      </c>
      <c r="O131" t="b">
        <f>IF(COUNTIFS($F$2:F131, F131, $P$2:P131, TRUE)&gt;1,TRUE,FALSE)</f>
        <v>0</v>
      </c>
      <c r="P131" t="b">
        <f>OR(ISNUMBER(MATCH(Checklist[[#This Row],[Type]], $B$3:$B$22, 0)), Checklist[[#This Row],[Type]] = "*")</f>
        <v>0</v>
      </c>
    </row>
    <row r="132" spans="4:16" x14ac:dyDescent="0.2">
      <c r="D132" t="s">
        <v>8</v>
      </c>
      <c r="E132" t="s">
        <v>66</v>
      </c>
      <c r="F132" t="s">
        <v>518</v>
      </c>
      <c r="G132" t="s">
        <v>519</v>
      </c>
      <c r="H132" t="s">
        <v>520</v>
      </c>
      <c r="I132" t="s">
        <v>13</v>
      </c>
      <c r="J132" t="s">
        <v>14</v>
      </c>
      <c r="O132" t="b">
        <f>IF(COUNTIFS($F$2:F132, F132, $P$2:P132, TRUE)&gt;1,TRUE,FALSE)</f>
        <v>0</v>
      </c>
      <c r="P132" t="b">
        <f>OR(ISNUMBER(MATCH(Checklist[[#This Row],[Type]], $B$3:$B$22, 0)), Checklist[[#This Row],[Type]] = "*")</f>
        <v>0</v>
      </c>
    </row>
    <row r="133" spans="4:16" x14ac:dyDescent="0.2">
      <c r="D133" t="s">
        <v>8</v>
      </c>
      <c r="E133" t="s">
        <v>66</v>
      </c>
      <c r="F133" t="s">
        <v>521</v>
      </c>
      <c r="G133" t="s">
        <v>522</v>
      </c>
      <c r="H133" t="s">
        <v>523</v>
      </c>
      <c r="I133" t="s">
        <v>13</v>
      </c>
      <c r="J133" t="s">
        <v>14</v>
      </c>
      <c r="O133" t="b">
        <f>IF(COUNTIFS($F$2:F133, F133, $P$2:P133, TRUE)&gt;1,TRUE,FALSE)</f>
        <v>0</v>
      </c>
      <c r="P133" t="b">
        <f>OR(ISNUMBER(MATCH(Checklist[[#This Row],[Type]], $B$3:$B$22, 0)), Checklist[[#This Row],[Type]] = "*")</f>
        <v>0</v>
      </c>
    </row>
    <row r="134" spans="4:16" x14ac:dyDescent="0.2">
      <c r="D134" t="s">
        <v>8</v>
      </c>
      <c r="E134" t="s">
        <v>66</v>
      </c>
      <c r="F134" t="s">
        <v>524</v>
      </c>
      <c r="G134" t="s">
        <v>525</v>
      </c>
      <c r="H134" t="s">
        <v>526</v>
      </c>
      <c r="I134" t="s">
        <v>13</v>
      </c>
      <c r="J134" t="s">
        <v>14</v>
      </c>
      <c r="O134" t="b">
        <f>IF(COUNTIFS($F$2:F134, F134, $P$2:P134, TRUE)&gt;1,TRUE,FALSE)</f>
        <v>0</v>
      </c>
      <c r="P134" t="b">
        <f>OR(ISNUMBER(MATCH(Checklist[[#This Row],[Type]], $B$3:$B$22, 0)), Checklist[[#This Row],[Type]] = "*")</f>
        <v>0</v>
      </c>
    </row>
    <row r="135" spans="4:16" x14ac:dyDescent="0.2">
      <c r="D135" t="s">
        <v>8</v>
      </c>
      <c r="E135" t="s">
        <v>66</v>
      </c>
      <c r="F135" t="s">
        <v>527</v>
      </c>
      <c r="G135" t="s">
        <v>445</v>
      </c>
      <c r="H135" t="s">
        <v>446</v>
      </c>
      <c r="I135" t="s">
        <v>13</v>
      </c>
      <c r="J135" t="s">
        <v>14</v>
      </c>
      <c r="O135" t="b">
        <f>IF(COUNTIFS($F$2:F135, F135, $P$2:P135, TRUE)&gt;1,TRUE,FALSE)</f>
        <v>0</v>
      </c>
      <c r="P135" t="b">
        <f>OR(ISNUMBER(MATCH(Checklist[[#This Row],[Type]], $B$3:$B$22, 0)), Checklist[[#This Row],[Type]] = "*")</f>
        <v>0</v>
      </c>
    </row>
    <row r="136" spans="4:16" x14ac:dyDescent="0.2">
      <c r="D136" t="s">
        <v>8</v>
      </c>
      <c r="E136" t="s">
        <v>352</v>
      </c>
      <c r="F136" t="s">
        <v>404</v>
      </c>
      <c r="G136" t="s">
        <v>405</v>
      </c>
      <c r="H136" t="s">
        <v>406</v>
      </c>
      <c r="I136" t="s">
        <v>13</v>
      </c>
      <c r="J136" t="s">
        <v>14</v>
      </c>
      <c r="O136" t="b">
        <f>IF(COUNTIFS($F$2:F136, F136, $P$2:P136, TRUE)&gt;1,TRUE,FALSE)</f>
        <v>0</v>
      </c>
      <c r="P136" t="b">
        <f>OR(ISNUMBER(MATCH(Checklist[[#This Row],[Type]], $B$3:$B$22, 0)), Checklist[[#This Row],[Type]] = "*")</f>
        <v>0</v>
      </c>
    </row>
    <row r="137" spans="4:16" x14ac:dyDescent="0.2">
      <c r="D137" t="s">
        <v>8</v>
      </c>
      <c r="E137" t="s">
        <v>352</v>
      </c>
      <c r="F137" t="s">
        <v>407</v>
      </c>
      <c r="G137" t="s">
        <v>408</v>
      </c>
      <c r="H137" t="s">
        <v>409</v>
      </c>
      <c r="I137" t="s">
        <v>13</v>
      </c>
      <c r="J137" t="s">
        <v>14</v>
      </c>
      <c r="O137" t="b">
        <f>IF(COUNTIFS($F$2:F137, F137, $P$2:P137, TRUE)&gt;1,TRUE,FALSE)</f>
        <v>0</v>
      </c>
      <c r="P137" t="b">
        <f>OR(ISNUMBER(MATCH(Checklist[[#This Row],[Type]], $B$3:$B$22, 0)), Checklist[[#This Row],[Type]] = "*")</f>
        <v>0</v>
      </c>
    </row>
    <row r="138" spans="4:16" x14ac:dyDescent="0.2">
      <c r="D138" t="s">
        <v>8</v>
      </c>
      <c r="E138" t="s">
        <v>352</v>
      </c>
      <c r="F138" t="s">
        <v>410</v>
      </c>
      <c r="G138" t="s">
        <v>411</v>
      </c>
      <c r="H138" t="s">
        <v>412</v>
      </c>
      <c r="I138" t="s">
        <v>13</v>
      </c>
      <c r="J138" t="s">
        <v>14</v>
      </c>
      <c r="O138" t="b">
        <f>IF(COUNTIFS($F$2:F138, F138, $P$2:P138, TRUE)&gt;1,TRUE,FALSE)</f>
        <v>0</v>
      </c>
      <c r="P138" t="b">
        <f>OR(ISNUMBER(MATCH(Checklist[[#This Row],[Type]], $B$3:$B$22, 0)), Checklist[[#This Row],[Type]] = "*")</f>
        <v>0</v>
      </c>
    </row>
    <row r="139" spans="4:16" x14ac:dyDescent="0.2">
      <c r="D139" t="s">
        <v>8</v>
      </c>
      <c r="E139" t="s">
        <v>352</v>
      </c>
      <c r="F139" t="s">
        <v>413</v>
      </c>
      <c r="G139" t="s">
        <v>414</v>
      </c>
      <c r="H139" t="s">
        <v>415</v>
      </c>
      <c r="I139" t="s">
        <v>13</v>
      </c>
      <c r="J139" t="s">
        <v>14</v>
      </c>
      <c r="O139" t="b">
        <f>IF(COUNTIFS($F$2:F139, F139, $P$2:P139, TRUE)&gt;1,TRUE,FALSE)</f>
        <v>0</v>
      </c>
      <c r="P139" t="b">
        <f>OR(ISNUMBER(MATCH(Checklist[[#This Row],[Type]], $B$3:$B$22, 0)), Checklist[[#This Row],[Type]] = "*")</f>
        <v>0</v>
      </c>
    </row>
    <row r="140" spans="4:16" x14ac:dyDescent="0.2">
      <c r="D140" t="s">
        <v>8</v>
      </c>
      <c r="E140" t="s">
        <v>352</v>
      </c>
      <c r="F140" t="s">
        <v>416</v>
      </c>
      <c r="G140" t="s">
        <v>417</v>
      </c>
      <c r="H140" t="s">
        <v>418</v>
      </c>
      <c r="I140" t="s">
        <v>13</v>
      </c>
      <c r="J140" t="s">
        <v>14</v>
      </c>
      <c r="O140" t="b">
        <f>IF(COUNTIFS($F$2:F140, F140, $P$2:P140, TRUE)&gt;1,TRUE,FALSE)</f>
        <v>0</v>
      </c>
      <c r="P140" t="b">
        <f>OR(ISNUMBER(MATCH(Checklist[[#This Row],[Type]], $B$3:$B$22, 0)), Checklist[[#This Row],[Type]] = "*")</f>
        <v>0</v>
      </c>
    </row>
    <row r="141" spans="4:16" x14ac:dyDescent="0.2">
      <c r="D141" t="s">
        <v>8</v>
      </c>
      <c r="E141" t="s">
        <v>352</v>
      </c>
      <c r="F141" t="s">
        <v>419</v>
      </c>
      <c r="G141" t="s">
        <v>420</v>
      </c>
      <c r="H141" t="s">
        <v>421</v>
      </c>
      <c r="I141" t="s">
        <v>13</v>
      </c>
      <c r="J141" t="s">
        <v>14</v>
      </c>
      <c r="O141" t="b">
        <f>IF(COUNTIFS($F$2:F141, F141, $P$2:P141, TRUE)&gt;1,TRUE,FALSE)</f>
        <v>0</v>
      </c>
      <c r="P141" t="b">
        <f>OR(ISNUMBER(MATCH(Checklist[[#This Row],[Type]], $B$3:$B$22, 0)), Checklist[[#This Row],[Type]] = "*")</f>
        <v>0</v>
      </c>
    </row>
    <row r="142" spans="4:16" x14ac:dyDescent="0.2">
      <c r="D142" t="s">
        <v>8</v>
      </c>
      <c r="E142" t="s">
        <v>352</v>
      </c>
      <c r="F142" t="s">
        <v>425</v>
      </c>
      <c r="G142" t="s">
        <v>204</v>
      </c>
      <c r="H142" t="s">
        <v>426</v>
      </c>
      <c r="I142" t="s">
        <v>13</v>
      </c>
      <c r="J142" t="s">
        <v>14</v>
      </c>
      <c r="O142" t="b">
        <f>IF(COUNTIFS($F$2:F142, F142, $P$2:P142, TRUE)&gt;1,TRUE,FALSE)</f>
        <v>0</v>
      </c>
      <c r="P142" t="b">
        <f>OR(ISNUMBER(MATCH(Checklist[[#This Row],[Type]], $B$3:$B$22, 0)), Checklist[[#This Row],[Type]] = "*")</f>
        <v>0</v>
      </c>
    </row>
    <row r="143" spans="4:16" x14ac:dyDescent="0.2">
      <c r="D143" t="s">
        <v>8</v>
      </c>
      <c r="E143" t="s">
        <v>352</v>
      </c>
      <c r="F143" t="s">
        <v>528</v>
      </c>
      <c r="G143" t="s">
        <v>439</v>
      </c>
      <c r="H143" t="s">
        <v>440</v>
      </c>
      <c r="I143" t="s">
        <v>13</v>
      </c>
      <c r="J143" t="s">
        <v>14</v>
      </c>
      <c r="O143" t="b">
        <f>IF(COUNTIFS($F$2:F143, F143, $P$2:P143, TRUE)&gt;1,TRUE,FALSE)</f>
        <v>0</v>
      </c>
      <c r="P143" t="b">
        <f>OR(ISNUMBER(MATCH(Checklist[[#This Row],[Type]], $B$3:$B$22, 0)), Checklist[[#This Row],[Type]] = "*")</f>
        <v>0</v>
      </c>
    </row>
    <row r="144" spans="4:16" x14ac:dyDescent="0.2">
      <c r="D144" t="s">
        <v>8</v>
      </c>
      <c r="E144" t="s">
        <v>67</v>
      </c>
      <c r="F144" t="s">
        <v>529</v>
      </c>
      <c r="G144" t="s">
        <v>408</v>
      </c>
      <c r="H144" t="s">
        <v>409</v>
      </c>
      <c r="I144" t="s">
        <v>13</v>
      </c>
      <c r="J144" t="s">
        <v>14</v>
      </c>
      <c r="O144" t="b">
        <f>IF(COUNTIFS($F$2:F144, F144, $P$2:P144, TRUE)&gt;1,TRUE,FALSE)</f>
        <v>0</v>
      </c>
      <c r="P144" t="b">
        <f>OR(ISNUMBER(MATCH(Checklist[[#This Row],[Type]], $B$3:$B$22, 0)), Checklist[[#This Row],[Type]] = "*")</f>
        <v>0</v>
      </c>
    </row>
    <row r="145" spans="4:16" x14ac:dyDescent="0.2">
      <c r="D145" t="s">
        <v>8</v>
      </c>
      <c r="E145" t="s">
        <v>67</v>
      </c>
      <c r="F145" t="s">
        <v>530</v>
      </c>
      <c r="G145" t="s">
        <v>411</v>
      </c>
      <c r="H145" t="s">
        <v>412</v>
      </c>
      <c r="I145" t="s">
        <v>13</v>
      </c>
      <c r="J145" t="s">
        <v>14</v>
      </c>
      <c r="O145" t="b">
        <f>IF(COUNTIFS($F$2:F145, F145, $P$2:P145, TRUE)&gt;1,TRUE,FALSE)</f>
        <v>0</v>
      </c>
      <c r="P145" t="b">
        <f>OR(ISNUMBER(MATCH(Checklist[[#This Row],[Type]], $B$3:$B$22, 0)), Checklist[[#This Row],[Type]] = "*")</f>
        <v>0</v>
      </c>
    </row>
    <row r="146" spans="4:16" x14ac:dyDescent="0.2">
      <c r="D146" t="s">
        <v>8</v>
      </c>
      <c r="E146" t="s">
        <v>67</v>
      </c>
      <c r="F146" t="s">
        <v>531</v>
      </c>
      <c r="G146" t="s">
        <v>133</v>
      </c>
      <c r="H146" t="s">
        <v>428</v>
      </c>
      <c r="I146" t="s">
        <v>13</v>
      </c>
      <c r="J146" t="s">
        <v>14</v>
      </c>
      <c r="O146" t="b">
        <f>IF(COUNTIFS($F$2:F146, F146, $P$2:P146, TRUE)&gt;1,TRUE,FALSE)</f>
        <v>0</v>
      </c>
      <c r="P146" t="b">
        <f>OR(ISNUMBER(MATCH(Checklist[[#This Row],[Type]], $B$3:$B$22, 0)), Checklist[[#This Row],[Type]] = "*")</f>
        <v>0</v>
      </c>
    </row>
    <row r="147" spans="4:16" x14ac:dyDescent="0.2">
      <c r="D147" t="s">
        <v>8</v>
      </c>
      <c r="E147" t="s">
        <v>67</v>
      </c>
      <c r="F147" t="s">
        <v>532</v>
      </c>
      <c r="G147" t="s">
        <v>68</v>
      </c>
      <c r="H147" t="s">
        <v>69</v>
      </c>
      <c r="I147" t="s">
        <v>13</v>
      </c>
      <c r="J147" t="s">
        <v>14</v>
      </c>
      <c r="O147" t="b">
        <f>IF(COUNTIFS($F$2:F147, F147, $P$2:P147, TRUE)&gt;1,TRUE,FALSE)</f>
        <v>0</v>
      </c>
      <c r="P147" t="b">
        <f>OR(ISNUMBER(MATCH(Checklist[[#This Row],[Type]], $B$3:$B$22, 0)), Checklist[[#This Row],[Type]] = "*")</f>
        <v>0</v>
      </c>
    </row>
    <row r="148" spans="4:16" x14ac:dyDescent="0.2">
      <c r="D148" t="s">
        <v>8</v>
      </c>
      <c r="E148" t="s">
        <v>67</v>
      </c>
      <c r="F148" t="s">
        <v>533</v>
      </c>
      <c r="G148" t="s">
        <v>534</v>
      </c>
      <c r="H148" t="s">
        <v>535</v>
      </c>
      <c r="I148" t="s">
        <v>13</v>
      </c>
      <c r="J148" t="s">
        <v>14</v>
      </c>
      <c r="O148" t="b">
        <f>IF(COUNTIFS($F$2:F148, F148, $P$2:P148, TRUE)&gt;1,TRUE,FALSE)</f>
        <v>0</v>
      </c>
      <c r="P148" t="b">
        <f>OR(ISNUMBER(MATCH(Checklist[[#This Row],[Type]], $B$3:$B$22, 0)), Checklist[[#This Row],[Type]] = "*")</f>
        <v>0</v>
      </c>
    </row>
    <row r="149" spans="4:16" x14ac:dyDescent="0.2">
      <c r="D149" t="s">
        <v>8</v>
      </c>
      <c r="E149" t="s">
        <v>67</v>
      </c>
      <c r="F149" t="s">
        <v>536</v>
      </c>
      <c r="G149" t="s">
        <v>537</v>
      </c>
      <c r="H149" t="s">
        <v>538</v>
      </c>
      <c r="I149" t="s">
        <v>13</v>
      </c>
      <c r="J149" t="s">
        <v>14</v>
      </c>
      <c r="O149" t="b">
        <f>IF(COUNTIFS($F$2:F149, F149, $P$2:P149, TRUE)&gt;1,TRUE,FALSE)</f>
        <v>0</v>
      </c>
      <c r="P149" t="b">
        <f>OR(ISNUMBER(MATCH(Checklist[[#This Row],[Type]], $B$3:$B$22, 0)), Checklist[[#This Row],[Type]] = "*")</f>
        <v>0</v>
      </c>
    </row>
    <row r="150" spans="4:16" x14ac:dyDescent="0.2">
      <c r="D150" t="s">
        <v>8</v>
      </c>
      <c r="E150" t="s">
        <v>67</v>
      </c>
      <c r="F150" t="s">
        <v>539</v>
      </c>
      <c r="G150" t="s">
        <v>540</v>
      </c>
      <c r="H150" t="s">
        <v>541</v>
      </c>
      <c r="I150" t="s">
        <v>13</v>
      </c>
      <c r="J150" t="s">
        <v>14</v>
      </c>
      <c r="O150" t="b">
        <f>IF(COUNTIFS($F$2:F150, F150, $P$2:P150, TRUE)&gt;1,TRUE,FALSE)</f>
        <v>0</v>
      </c>
      <c r="P150" t="b">
        <f>OR(ISNUMBER(MATCH(Checklist[[#This Row],[Type]], $B$3:$B$22, 0)), Checklist[[#This Row],[Type]] = "*")</f>
        <v>0</v>
      </c>
    </row>
    <row r="151" spans="4:16" x14ac:dyDescent="0.2">
      <c r="D151" t="s">
        <v>8</v>
      </c>
      <c r="E151" t="s">
        <v>67</v>
      </c>
      <c r="F151" t="s">
        <v>542</v>
      </c>
      <c r="G151" t="s">
        <v>543</v>
      </c>
      <c r="H151" t="s">
        <v>544</v>
      </c>
      <c r="I151" t="s">
        <v>13</v>
      </c>
      <c r="J151" t="s">
        <v>14</v>
      </c>
      <c r="O151" t="b">
        <f>IF(COUNTIFS($F$2:F151, F151, $P$2:P151, TRUE)&gt;1,TRUE,FALSE)</f>
        <v>0</v>
      </c>
      <c r="P151" t="b">
        <f>OR(ISNUMBER(MATCH(Checklist[[#This Row],[Type]], $B$3:$B$22, 0)), Checklist[[#This Row],[Type]] = "*")</f>
        <v>0</v>
      </c>
    </row>
    <row r="152" spans="4:16" x14ac:dyDescent="0.2">
      <c r="D152" t="s">
        <v>8</v>
      </c>
      <c r="E152" t="s">
        <v>67</v>
      </c>
      <c r="F152" t="s">
        <v>545</v>
      </c>
      <c r="G152" t="s">
        <v>546</v>
      </c>
      <c r="H152" t="s">
        <v>547</v>
      </c>
      <c r="I152" t="s">
        <v>13</v>
      </c>
      <c r="J152" t="s">
        <v>14</v>
      </c>
      <c r="O152" t="b">
        <f>IF(COUNTIFS($F$2:F152, F152, $P$2:P152, TRUE)&gt;1,TRUE,FALSE)</f>
        <v>0</v>
      </c>
      <c r="P152" t="b">
        <f>OR(ISNUMBER(MATCH(Checklist[[#This Row],[Type]], $B$3:$B$22, 0)), Checklist[[#This Row],[Type]] = "*")</f>
        <v>0</v>
      </c>
    </row>
    <row r="153" spans="4:16" x14ac:dyDescent="0.2">
      <c r="D153" t="s">
        <v>8</v>
      </c>
      <c r="E153" t="s">
        <v>67</v>
      </c>
      <c r="F153" t="s">
        <v>548</v>
      </c>
      <c r="G153" t="s">
        <v>549</v>
      </c>
      <c r="H153" t="s">
        <v>550</v>
      </c>
      <c r="I153" t="s">
        <v>13</v>
      </c>
      <c r="J153" t="s">
        <v>14</v>
      </c>
      <c r="O153" t="b">
        <f>IF(COUNTIFS($F$2:F153, F153, $P$2:P153, TRUE)&gt;1,TRUE,FALSE)</f>
        <v>0</v>
      </c>
      <c r="P153" t="b">
        <f>OR(ISNUMBER(MATCH(Checklist[[#This Row],[Type]], $B$3:$B$22, 0)), Checklist[[#This Row],[Type]] = "*")</f>
        <v>0</v>
      </c>
    </row>
    <row r="154" spans="4:16" x14ac:dyDescent="0.2">
      <c r="D154" t="s">
        <v>8</v>
      </c>
      <c r="E154" t="s">
        <v>67</v>
      </c>
      <c r="F154" t="s">
        <v>551</v>
      </c>
      <c r="G154" t="s">
        <v>552</v>
      </c>
      <c r="H154" t="s">
        <v>553</v>
      </c>
      <c r="I154" t="s">
        <v>13</v>
      </c>
      <c r="J154" t="s">
        <v>14</v>
      </c>
      <c r="O154" t="b">
        <f>IF(COUNTIFS($F$2:F154, F154, $P$2:P154, TRUE)&gt;1,TRUE,FALSE)</f>
        <v>0</v>
      </c>
      <c r="P154" t="b">
        <f>OR(ISNUMBER(MATCH(Checklist[[#This Row],[Type]], $B$3:$B$22, 0)), Checklist[[#This Row],[Type]] = "*")</f>
        <v>0</v>
      </c>
    </row>
    <row r="155" spans="4:16" x14ac:dyDescent="0.2">
      <c r="D155" t="s">
        <v>8</v>
      </c>
      <c r="E155" t="s">
        <v>67</v>
      </c>
      <c r="F155" t="s">
        <v>554</v>
      </c>
      <c r="G155" t="s">
        <v>555</v>
      </c>
      <c r="H155" t="s">
        <v>556</v>
      </c>
      <c r="I155" t="s">
        <v>13</v>
      </c>
      <c r="J155" t="s">
        <v>14</v>
      </c>
      <c r="O155" t="b">
        <f>IF(COUNTIFS($F$2:F155, F155, $P$2:P155, TRUE)&gt;1,TRUE,FALSE)</f>
        <v>0</v>
      </c>
      <c r="P155" t="b">
        <f>OR(ISNUMBER(MATCH(Checklist[[#This Row],[Type]], $B$3:$B$22, 0)), Checklist[[#This Row],[Type]] = "*")</f>
        <v>0</v>
      </c>
    </row>
    <row r="156" spans="4:16" x14ac:dyDescent="0.2">
      <c r="D156" t="s">
        <v>8</v>
      </c>
      <c r="E156" t="s">
        <v>71</v>
      </c>
      <c r="F156" t="s">
        <v>404</v>
      </c>
      <c r="G156" t="s">
        <v>405</v>
      </c>
      <c r="H156" t="s">
        <v>406</v>
      </c>
      <c r="I156" t="s">
        <v>13</v>
      </c>
      <c r="J156" t="s">
        <v>14</v>
      </c>
      <c r="O156" t="b">
        <f>IF(COUNTIFS($F$2:F156, F156, $P$2:P156, TRUE)&gt;1,TRUE,FALSE)</f>
        <v>0</v>
      </c>
      <c r="P156" t="b">
        <f>OR(ISNUMBER(MATCH(Checklist[[#This Row],[Type]], $B$3:$B$22, 0)), Checklist[[#This Row],[Type]] = "*")</f>
        <v>0</v>
      </c>
    </row>
    <row r="157" spans="4:16" x14ac:dyDescent="0.2">
      <c r="D157" t="s">
        <v>8</v>
      </c>
      <c r="E157" t="s">
        <v>71</v>
      </c>
      <c r="F157" t="s">
        <v>407</v>
      </c>
      <c r="G157" t="s">
        <v>408</v>
      </c>
      <c r="H157" t="s">
        <v>409</v>
      </c>
      <c r="I157" t="s">
        <v>13</v>
      </c>
      <c r="J157" t="s">
        <v>14</v>
      </c>
      <c r="O157" t="b">
        <f>IF(COUNTIFS($F$2:F157, F157, $P$2:P157, TRUE)&gt;1,TRUE,FALSE)</f>
        <v>0</v>
      </c>
      <c r="P157" t="b">
        <f>OR(ISNUMBER(MATCH(Checklist[[#This Row],[Type]], $B$3:$B$22, 0)), Checklist[[#This Row],[Type]] = "*")</f>
        <v>0</v>
      </c>
    </row>
    <row r="158" spans="4:16" x14ac:dyDescent="0.2">
      <c r="D158" t="s">
        <v>8</v>
      </c>
      <c r="E158" t="s">
        <v>71</v>
      </c>
      <c r="F158" t="s">
        <v>410</v>
      </c>
      <c r="G158" t="s">
        <v>411</v>
      </c>
      <c r="H158" t="s">
        <v>412</v>
      </c>
      <c r="I158" t="s">
        <v>13</v>
      </c>
      <c r="J158" t="s">
        <v>14</v>
      </c>
      <c r="O158" t="b">
        <f>IF(COUNTIFS($F$2:F158, F158, $P$2:P158, TRUE)&gt;1,TRUE,FALSE)</f>
        <v>0</v>
      </c>
      <c r="P158" t="b">
        <f>OR(ISNUMBER(MATCH(Checklist[[#This Row],[Type]], $B$3:$B$22, 0)), Checklist[[#This Row],[Type]] = "*")</f>
        <v>0</v>
      </c>
    </row>
    <row r="159" spans="4:16" x14ac:dyDescent="0.2">
      <c r="D159" t="s">
        <v>8</v>
      </c>
      <c r="E159" t="s">
        <v>71</v>
      </c>
      <c r="F159" t="s">
        <v>416</v>
      </c>
      <c r="G159" t="s">
        <v>417</v>
      </c>
      <c r="H159" t="s">
        <v>418</v>
      </c>
      <c r="I159" t="s">
        <v>13</v>
      </c>
      <c r="J159" t="s">
        <v>14</v>
      </c>
      <c r="O159" t="b">
        <f>IF(COUNTIFS($F$2:F159, F159, $P$2:P159, TRUE)&gt;1,TRUE,FALSE)</f>
        <v>0</v>
      </c>
      <c r="P159" t="b">
        <f>OR(ISNUMBER(MATCH(Checklist[[#This Row],[Type]], $B$3:$B$22, 0)), Checklist[[#This Row],[Type]] = "*")</f>
        <v>0</v>
      </c>
    </row>
    <row r="160" spans="4:16" x14ac:dyDescent="0.2">
      <c r="D160" t="s">
        <v>8</v>
      </c>
      <c r="E160" t="s">
        <v>71</v>
      </c>
      <c r="F160" t="s">
        <v>419</v>
      </c>
      <c r="G160" t="s">
        <v>420</v>
      </c>
      <c r="H160" t="s">
        <v>421</v>
      </c>
      <c r="I160" t="s">
        <v>13</v>
      </c>
      <c r="J160" t="s">
        <v>14</v>
      </c>
      <c r="O160" t="b">
        <f>IF(COUNTIFS($F$2:F160, F160, $P$2:P160, TRUE)&gt;1,TRUE,FALSE)</f>
        <v>0</v>
      </c>
      <c r="P160" t="b">
        <f>OR(ISNUMBER(MATCH(Checklist[[#This Row],[Type]], $B$3:$B$22, 0)), Checklist[[#This Row],[Type]] = "*")</f>
        <v>0</v>
      </c>
    </row>
    <row r="161" spans="4:16" x14ac:dyDescent="0.2">
      <c r="D161" t="s">
        <v>8</v>
      </c>
      <c r="E161" t="s">
        <v>71</v>
      </c>
      <c r="F161" t="s">
        <v>422</v>
      </c>
      <c r="G161" t="s">
        <v>423</v>
      </c>
      <c r="H161" t="s">
        <v>424</v>
      </c>
      <c r="I161" t="s">
        <v>13</v>
      </c>
      <c r="J161" t="s">
        <v>14</v>
      </c>
      <c r="O161" t="b">
        <f>IF(COUNTIFS($F$2:F161, F161, $P$2:P161, TRUE)&gt;1,TRUE,FALSE)</f>
        <v>0</v>
      </c>
      <c r="P161" t="b">
        <f>OR(ISNUMBER(MATCH(Checklist[[#This Row],[Type]], $B$3:$B$22, 0)), Checklist[[#This Row],[Type]] = "*")</f>
        <v>0</v>
      </c>
    </row>
    <row r="162" spans="4:16" x14ac:dyDescent="0.2">
      <c r="D162" t="s">
        <v>8</v>
      </c>
      <c r="E162" t="s">
        <v>71</v>
      </c>
      <c r="F162" t="s">
        <v>427</v>
      </c>
      <c r="G162" t="s">
        <v>133</v>
      </c>
      <c r="H162" t="s">
        <v>428</v>
      </c>
      <c r="I162" t="s">
        <v>13</v>
      </c>
      <c r="J162" t="s">
        <v>14</v>
      </c>
      <c r="O162" t="b">
        <f>IF(COUNTIFS($F$2:F162, F162, $P$2:P162, TRUE)&gt;1,TRUE,FALSE)</f>
        <v>0</v>
      </c>
      <c r="P162" t="b">
        <f>OR(ISNUMBER(MATCH(Checklist[[#This Row],[Type]], $B$3:$B$22, 0)), Checklist[[#This Row],[Type]] = "*")</f>
        <v>0</v>
      </c>
    </row>
    <row r="163" spans="4:16" x14ac:dyDescent="0.2">
      <c r="D163" t="s">
        <v>8</v>
      </c>
      <c r="E163" t="s">
        <v>71</v>
      </c>
      <c r="F163" t="s">
        <v>557</v>
      </c>
      <c r="G163" t="s">
        <v>72</v>
      </c>
      <c r="H163" t="s">
        <v>73</v>
      </c>
      <c r="I163" t="s">
        <v>13</v>
      </c>
      <c r="J163" t="s">
        <v>14</v>
      </c>
      <c r="O163" t="b">
        <f>IF(COUNTIFS($F$2:F163, F163, $P$2:P163, TRUE)&gt;1,TRUE,FALSE)</f>
        <v>0</v>
      </c>
      <c r="P163" t="b">
        <f>OR(ISNUMBER(MATCH(Checklist[[#This Row],[Type]], $B$3:$B$22, 0)), Checklist[[#This Row],[Type]] = "*")</f>
        <v>0</v>
      </c>
    </row>
    <row r="164" spans="4:16" x14ac:dyDescent="0.2">
      <c r="D164" t="s">
        <v>8</v>
      </c>
      <c r="E164" t="s">
        <v>71</v>
      </c>
      <c r="F164" t="s">
        <v>558</v>
      </c>
      <c r="G164" t="s">
        <v>74</v>
      </c>
      <c r="H164" t="s">
        <v>75</v>
      </c>
      <c r="I164" t="s">
        <v>13</v>
      </c>
      <c r="J164" t="s">
        <v>14</v>
      </c>
      <c r="O164" t="b">
        <f>IF(COUNTIFS($F$2:F164, F164, $P$2:P164, TRUE)&gt;1,TRUE,FALSE)</f>
        <v>0</v>
      </c>
      <c r="P164" t="b">
        <f>OR(ISNUMBER(MATCH(Checklist[[#This Row],[Type]], $B$3:$B$22, 0)), Checklist[[#This Row],[Type]] = "*")</f>
        <v>0</v>
      </c>
    </row>
    <row r="165" spans="4:16" x14ac:dyDescent="0.2">
      <c r="D165" t="s">
        <v>8</v>
      </c>
      <c r="E165" t="s">
        <v>71</v>
      </c>
      <c r="F165" t="s">
        <v>559</v>
      </c>
      <c r="G165" t="s">
        <v>560</v>
      </c>
      <c r="H165" t="s">
        <v>561</v>
      </c>
      <c r="I165" t="s">
        <v>13</v>
      </c>
      <c r="J165" t="s">
        <v>14</v>
      </c>
      <c r="O165" t="b">
        <f>IF(COUNTIFS($F$2:F165, F165, $P$2:P165, TRUE)&gt;1,TRUE,FALSE)</f>
        <v>0</v>
      </c>
      <c r="P165" t="b">
        <f>OR(ISNUMBER(MATCH(Checklist[[#This Row],[Type]], $B$3:$B$22, 0)), Checklist[[#This Row],[Type]] = "*")</f>
        <v>0</v>
      </c>
    </row>
    <row r="166" spans="4:16" x14ac:dyDescent="0.2">
      <c r="D166" t="s">
        <v>8</v>
      </c>
      <c r="E166" t="s">
        <v>71</v>
      </c>
      <c r="F166" t="s">
        <v>562</v>
      </c>
      <c r="G166" t="s">
        <v>563</v>
      </c>
      <c r="H166" t="s">
        <v>564</v>
      </c>
      <c r="I166" t="s">
        <v>13</v>
      </c>
      <c r="J166" t="s">
        <v>14</v>
      </c>
      <c r="O166" t="b">
        <f>IF(COUNTIFS($F$2:F166, F166, $P$2:P166, TRUE)&gt;1,TRUE,FALSE)</f>
        <v>0</v>
      </c>
      <c r="P166" t="b">
        <f>OR(ISNUMBER(MATCH(Checklist[[#This Row],[Type]], $B$3:$B$22, 0)), Checklist[[#This Row],[Type]] = "*")</f>
        <v>0</v>
      </c>
    </row>
    <row r="167" spans="4:16" x14ac:dyDescent="0.2">
      <c r="D167" t="s">
        <v>8</v>
      </c>
      <c r="E167" t="s">
        <v>71</v>
      </c>
      <c r="F167" t="s">
        <v>565</v>
      </c>
      <c r="G167" t="s">
        <v>566</v>
      </c>
      <c r="H167" t="s">
        <v>567</v>
      </c>
      <c r="I167" t="s">
        <v>13</v>
      </c>
      <c r="J167" t="s">
        <v>14</v>
      </c>
      <c r="O167" t="b">
        <f>IF(COUNTIFS($F$2:F167, F167, $P$2:P167, TRUE)&gt;1,TRUE,FALSE)</f>
        <v>0</v>
      </c>
      <c r="P167" t="b">
        <f>OR(ISNUMBER(MATCH(Checklist[[#This Row],[Type]], $B$3:$B$22, 0)), Checklist[[#This Row],[Type]] = "*")</f>
        <v>0</v>
      </c>
    </row>
    <row r="168" spans="4:16" x14ac:dyDescent="0.2">
      <c r="D168" t="s">
        <v>8</v>
      </c>
      <c r="E168" t="s">
        <v>71</v>
      </c>
      <c r="F168" t="s">
        <v>843</v>
      </c>
      <c r="G168" t="s">
        <v>844</v>
      </c>
      <c r="H168" t="s">
        <v>845</v>
      </c>
      <c r="I168" t="s">
        <v>13</v>
      </c>
      <c r="J168" t="s">
        <v>14</v>
      </c>
      <c r="O168" t="b">
        <f>IF(COUNTIFS($F$2:F168, F168, $P$2:P168, TRUE)&gt;1,TRUE,FALSE)</f>
        <v>0</v>
      </c>
      <c r="P168" t="b">
        <f>OR(ISNUMBER(MATCH(Checklist[[#This Row],[Type]], $B$3:$B$22, 0)), Checklist[[#This Row],[Type]] = "*")</f>
        <v>0</v>
      </c>
    </row>
    <row r="169" spans="4:16" x14ac:dyDescent="0.2">
      <c r="D169" t="s">
        <v>8</v>
      </c>
      <c r="E169" t="s">
        <v>71</v>
      </c>
      <c r="F169" t="s">
        <v>846</v>
      </c>
      <c r="G169" t="s">
        <v>847</v>
      </c>
      <c r="H169" t="s">
        <v>848</v>
      </c>
      <c r="I169" t="s">
        <v>13</v>
      </c>
      <c r="J169" t="s">
        <v>14</v>
      </c>
      <c r="O169" t="b">
        <f>IF(COUNTIFS($F$2:F169, F169, $P$2:P169, TRUE)&gt;1,TRUE,FALSE)</f>
        <v>0</v>
      </c>
      <c r="P169" t="b">
        <f>OR(ISNUMBER(MATCH(Checklist[[#This Row],[Type]], $B$3:$B$22, 0)), Checklist[[#This Row],[Type]] = "*")</f>
        <v>0</v>
      </c>
    </row>
    <row r="170" spans="4:16" x14ac:dyDescent="0.2">
      <c r="D170" t="s">
        <v>8</v>
      </c>
      <c r="E170" t="s">
        <v>71</v>
      </c>
      <c r="F170" t="s">
        <v>849</v>
      </c>
      <c r="G170" t="s">
        <v>850</v>
      </c>
      <c r="H170" t="s">
        <v>851</v>
      </c>
      <c r="I170" t="s">
        <v>13</v>
      </c>
      <c r="J170" t="s">
        <v>14</v>
      </c>
      <c r="O170" t="b">
        <f>IF(COUNTIFS($F$2:F170, F170, $P$2:P170, TRUE)&gt;1,TRUE,FALSE)</f>
        <v>0</v>
      </c>
      <c r="P170" t="b">
        <f>OR(ISNUMBER(MATCH(Checklist[[#This Row],[Type]], $B$3:$B$22, 0)), Checklist[[#This Row],[Type]] = "*")</f>
        <v>0</v>
      </c>
    </row>
    <row r="171" spans="4:16" x14ac:dyDescent="0.2">
      <c r="D171" t="s">
        <v>8</v>
      </c>
      <c r="E171" t="s">
        <v>76</v>
      </c>
      <c r="F171" t="s">
        <v>568</v>
      </c>
      <c r="G171" t="s">
        <v>569</v>
      </c>
      <c r="H171" t="s">
        <v>570</v>
      </c>
      <c r="I171" t="s">
        <v>13</v>
      </c>
      <c r="J171" t="s">
        <v>14</v>
      </c>
      <c r="O171" t="b">
        <f>IF(COUNTIFS($F$2:F171, F171, $P$2:P171, TRUE)&gt;1,TRUE,FALSE)</f>
        <v>0</v>
      </c>
      <c r="P171" t="b">
        <f>OR(ISNUMBER(MATCH(Checklist[[#This Row],[Type]], $B$3:$B$22, 0)), Checklist[[#This Row],[Type]] = "*")</f>
        <v>0</v>
      </c>
    </row>
    <row r="172" spans="4:16" x14ac:dyDescent="0.2">
      <c r="D172" t="s">
        <v>8</v>
      </c>
      <c r="E172" t="s">
        <v>76</v>
      </c>
      <c r="F172" t="s">
        <v>571</v>
      </c>
      <c r="G172" t="s">
        <v>572</v>
      </c>
      <c r="H172" t="s">
        <v>573</v>
      </c>
      <c r="I172" t="s">
        <v>13</v>
      </c>
      <c r="J172" t="s">
        <v>14</v>
      </c>
      <c r="O172" t="b">
        <f>IF(COUNTIFS($F$2:F172, F172, $P$2:P172, TRUE)&gt;1,TRUE,FALSE)</f>
        <v>0</v>
      </c>
      <c r="P172" t="b">
        <f>OR(ISNUMBER(MATCH(Checklist[[#This Row],[Type]], $B$3:$B$22, 0)), Checklist[[#This Row],[Type]] = "*")</f>
        <v>0</v>
      </c>
    </row>
    <row r="173" spans="4:16" x14ac:dyDescent="0.2">
      <c r="D173" t="s">
        <v>8</v>
      </c>
      <c r="E173" t="s">
        <v>77</v>
      </c>
      <c r="F173" t="s">
        <v>456</v>
      </c>
      <c r="G173" t="s">
        <v>457</v>
      </c>
      <c r="H173" t="s">
        <v>813</v>
      </c>
      <c r="I173" t="s">
        <v>13</v>
      </c>
      <c r="J173" t="s">
        <v>14</v>
      </c>
      <c r="O173" t="b">
        <f>IF(COUNTIFS($F$2:F173, F173, $P$2:P173, TRUE)&gt;1,TRUE,FALSE)</f>
        <v>0</v>
      </c>
      <c r="P173" t="b">
        <f>OR(ISNUMBER(MATCH(Checklist[[#This Row],[Type]], $B$3:$B$22, 0)), Checklist[[#This Row],[Type]] = "*")</f>
        <v>0</v>
      </c>
    </row>
    <row r="174" spans="4:16" x14ac:dyDescent="0.2">
      <c r="D174" t="s">
        <v>8</v>
      </c>
      <c r="E174" t="s">
        <v>77</v>
      </c>
      <c r="F174" t="s">
        <v>799</v>
      </c>
      <c r="G174" t="s">
        <v>800</v>
      </c>
      <c r="H174" t="s">
        <v>801</v>
      </c>
      <c r="I174" t="s">
        <v>13</v>
      </c>
      <c r="J174" t="s">
        <v>14</v>
      </c>
      <c r="O174" t="b">
        <f>IF(COUNTIFS($F$2:F174, F174, $P$2:P174, TRUE)&gt;1,TRUE,FALSE)</f>
        <v>0</v>
      </c>
      <c r="P174" t="b">
        <f>OR(ISNUMBER(MATCH(Checklist[[#This Row],[Type]], $B$3:$B$22, 0)), Checklist[[#This Row],[Type]] = "*")</f>
        <v>0</v>
      </c>
    </row>
    <row r="175" spans="4:16" x14ac:dyDescent="0.2">
      <c r="D175" t="s">
        <v>8</v>
      </c>
      <c r="E175" t="s">
        <v>77</v>
      </c>
      <c r="F175" t="s">
        <v>459</v>
      </c>
      <c r="G175" t="s">
        <v>460</v>
      </c>
      <c r="H175" t="s">
        <v>461</v>
      </c>
      <c r="I175" t="s">
        <v>13</v>
      </c>
      <c r="J175" t="s">
        <v>14</v>
      </c>
      <c r="O175" t="b">
        <f>IF(COUNTIFS($F$2:F175, F175, $P$2:P175, TRUE)&gt;1,TRUE,FALSE)</f>
        <v>0</v>
      </c>
      <c r="P175" t="b">
        <f>OR(ISNUMBER(MATCH(Checklist[[#This Row],[Type]], $B$3:$B$22, 0)), Checklist[[#This Row],[Type]] = "*")</f>
        <v>0</v>
      </c>
    </row>
    <row r="176" spans="4:16" x14ac:dyDescent="0.2">
      <c r="D176" t="s">
        <v>8</v>
      </c>
      <c r="E176" t="s">
        <v>77</v>
      </c>
      <c r="F176" t="s">
        <v>462</v>
      </c>
      <c r="G176" t="s">
        <v>423</v>
      </c>
      <c r="H176" t="s">
        <v>424</v>
      </c>
      <c r="I176" t="s">
        <v>13</v>
      </c>
      <c r="J176" t="s">
        <v>14</v>
      </c>
      <c r="O176" t="b">
        <f>IF(COUNTIFS($F$2:F176, F176, $P$2:P176, TRUE)&gt;1,TRUE,FALSE)</f>
        <v>0</v>
      </c>
      <c r="P176" t="b">
        <f>OR(ISNUMBER(MATCH(Checklist[[#This Row],[Type]], $B$3:$B$22, 0)), Checklist[[#This Row],[Type]] = "*")</f>
        <v>0</v>
      </c>
    </row>
    <row r="177" spans="4:16" x14ac:dyDescent="0.2">
      <c r="D177" t="s">
        <v>8</v>
      </c>
      <c r="E177" t="s">
        <v>78</v>
      </c>
      <c r="F177" t="s">
        <v>382</v>
      </c>
      <c r="G177" t="s">
        <v>86</v>
      </c>
      <c r="H177" t="s">
        <v>383</v>
      </c>
      <c r="I177" t="s">
        <v>13</v>
      </c>
      <c r="J177" t="s">
        <v>14</v>
      </c>
      <c r="O177" t="b">
        <f>IF(COUNTIFS($F$2:F177, F177, $P$2:P177, TRUE)&gt;1,TRUE,FALSE)</f>
        <v>0</v>
      </c>
      <c r="P177" t="b">
        <f>OR(ISNUMBER(MATCH(Checklist[[#This Row],[Type]], $B$3:$B$22, 0)), Checklist[[#This Row],[Type]] = "*")</f>
        <v>0</v>
      </c>
    </row>
    <row r="178" spans="4:16" x14ac:dyDescent="0.2">
      <c r="D178" t="s">
        <v>8</v>
      </c>
      <c r="E178" t="s">
        <v>78</v>
      </c>
      <c r="F178" t="s">
        <v>384</v>
      </c>
      <c r="G178" t="s">
        <v>385</v>
      </c>
      <c r="H178" t="s">
        <v>386</v>
      </c>
      <c r="I178" t="s">
        <v>13</v>
      </c>
      <c r="J178" t="s">
        <v>14</v>
      </c>
      <c r="O178" t="b">
        <f>IF(COUNTIFS($F$2:F178, F178, $P$2:P178, TRUE)&gt;1,TRUE,FALSE)</f>
        <v>0</v>
      </c>
      <c r="P178" t="b">
        <f>OR(ISNUMBER(MATCH(Checklist[[#This Row],[Type]], $B$3:$B$22, 0)), Checklist[[#This Row],[Type]] = "*")</f>
        <v>0</v>
      </c>
    </row>
    <row r="179" spans="4:16" x14ac:dyDescent="0.2">
      <c r="D179" t="s">
        <v>8</v>
      </c>
      <c r="E179" t="s">
        <v>78</v>
      </c>
      <c r="F179" t="s">
        <v>387</v>
      </c>
      <c r="G179" t="s">
        <v>388</v>
      </c>
      <c r="H179" t="s">
        <v>389</v>
      </c>
      <c r="I179" t="s">
        <v>13</v>
      </c>
      <c r="J179" t="s">
        <v>14</v>
      </c>
      <c r="O179" t="b">
        <f>IF(COUNTIFS($F$2:F179, F179, $P$2:P179, TRUE)&gt;1,TRUE,FALSE)</f>
        <v>0</v>
      </c>
      <c r="P179" t="b">
        <f>OR(ISNUMBER(MATCH(Checklist[[#This Row],[Type]], $B$3:$B$22, 0)), Checklist[[#This Row],[Type]] = "*")</f>
        <v>0</v>
      </c>
    </row>
    <row r="180" spans="4:16" x14ac:dyDescent="0.2">
      <c r="D180" t="s">
        <v>8</v>
      </c>
      <c r="E180" t="s">
        <v>78</v>
      </c>
      <c r="F180" t="s">
        <v>390</v>
      </c>
      <c r="G180" t="s">
        <v>391</v>
      </c>
      <c r="H180" t="s">
        <v>386</v>
      </c>
      <c r="I180" t="s">
        <v>13</v>
      </c>
      <c r="J180" t="s">
        <v>14</v>
      </c>
      <c r="O180" t="b">
        <f>IF(COUNTIFS($F$2:F180, F180, $P$2:P180, TRUE)&gt;1,TRUE,FALSE)</f>
        <v>0</v>
      </c>
      <c r="P180" t="b">
        <f>OR(ISNUMBER(MATCH(Checklist[[#This Row],[Type]], $B$3:$B$22, 0)), Checklist[[#This Row],[Type]] = "*")</f>
        <v>0</v>
      </c>
    </row>
    <row r="181" spans="4:16" x14ac:dyDescent="0.2">
      <c r="D181" t="s">
        <v>8</v>
      </c>
      <c r="E181" t="s">
        <v>78</v>
      </c>
      <c r="F181" t="s">
        <v>392</v>
      </c>
      <c r="G181" t="s">
        <v>393</v>
      </c>
      <c r="H181" t="s">
        <v>394</v>
      </c>
      <c r="I181" t="s">
        <v>13</v>
      </c>
      <c r="J181" t="s">
        <v>14</v>
      </c>
      <c r="O181" t="b">
        <f>IF(COUNTIFS($F$2:F181, F181, $P$2:P181, TRUE)&gt;1,TRUE,FALSE)</f>
        <v>0</v>
      </c>
      <c r="P181" t="b">
        <f>OR(ISNUMBER(MATCH(Checklist[[#This Row],[Type]], $B$3:$B$22, 0)), Checklist[[#This Row],[Type]] = "*")</f>
        <v>0</v>
      </c>
    </row>
    <row r="182" spans="4:16" x14ac:dyDescent="0.2">
      <c r="D182" t="s">
        <v>8</v>
      </c>
      <c r="E182" t="s">
        <v>78</v>
      </c>
      <c r="F182" t="s">
        <v>395</v>
      </c>
      <c r="G182" t="s">
        <v>161</v>
      </c>
      <c r="H182" t="s">
        <v>396</v>
      </c>
      <c r="I182" t="s">
        <v>13</v>
      </c>
      <c r="J182" t="s">
        <v>14</v>
      </c>
      <c r="O182" t="b">
        <f>IF(COUNTIFS($F$2:F182, F182, $P$2:P182, TRUE)&gt;1,TRUE,FALSE)</f>
        <v>0</v>
      </c>
      <c r="P182" t="b">
        <f>OR(ISNUMBER(MATCH(Checklist[[#This Row],[Type]], $B$3:$B$22, 0)), Checklist[[#This Row],[Type]] = "*")</f>
        <v>0</v>
      </c>
    </row>
    <row r="183" spans="4:16" x14ac:dyDescent="0.2">
      <c r="D183" t="s">
        <v>8</v>
      </c>
      <c r="E183" t="s">
        <v>78</v>
      </c>
      <c r="F183" t="s">
        <v>397</v>
      </c>
      <c r="G183" t="s">
        <v>398</v>
      </c>
      <c r="H183" t="s">
        <v>399</v>
      </c>
      <c r="I183" t="s">
        <v>13</v>
      </c>
      <c r="J183" t="s">
        <v>14</v>
      </c>
      <c r="O183" t="b">
        <f>IF(COUNTIFS($F$2:F183, F183, $P$2:P183, TRUE)&gt;1,TRUE,FALSE)</f>
        <v>0</v>
      </c>
      <c r="P183" t="b">
        <f>OR(ISNUMBER(MATCH(Checklist[[#This Row],[Type]], $B$3:$B$22, 0)), Checklist[[#This Row],[Type]] = "*")</f>
        <v>0</v>
      </c>
    </row>
    <row r="184" spans="4:16" x14ac:dyDescent="0.2">
      <c r="D184" t="s">
        <v>8</v>
      </c>
      <c r="E184" t="s">
        <v>78</v>
      </c>
      <c r="F184" t="s">
        <v>403</v>
      </c>
      <c r="G184" t="s">
        <v>56</v>
      </c>
      <c r="H184" t="s">
        <v>57</v>
      </c>
      <c r="I184" t="s">
        <v>13</v>
      </c>
      <c r="J184" t="s">
        <v>14</v>
      </c>
      <c r="O184" t="b">
        <f>IF(COUNTIFS($F$2:F184, F184, $P$2:P184, TRUE)&gt;1,TRUE,FALSE)</f>
        <v>0</v>
      </c>
      <c r="P184" t="b">
        <f>OR(ISNUMBER(MATCH(Checklist[[#This Row],[Type]], $B$3:$B$22, 0)), Checklist[[#This Row],[Type]] = "*")</f>
        <v>0</v>
      </c>
    </row>
    <row r="185" spans="4:16" x14ac:dyDescent="0.2">
      <c r="D185" t="s">
        <v>8</v>
      </c>
      <c r="E185" t="s">
        <v>78</v>
      </c>
      <c r="F185" t="s">
        <v>574</v>
      </c>
      <c r="G185" t="s">
        <v>575</v>
      </c>
      <c r="H185" t="s">
        <v>576</v>
      </c>
      <c r="I185" t="s">
        <v>13</v>
      </c>
      <c r="J185" t="s">
        <v>14</v>
      </c>
      <c r="O185" t="b">
        <f>IF(COUNTIFS($F$2:F185, F185, $P$2:P185, TRUE)&gt;1,TRUE,FALSE)</f>
        <v>0</v>
      </c>
      <c r="P185" t="b">
        <f>OR(ISNUMBER(MATCH(Checklist[[#This Row],[Type]], $B$3:$B$22, 0)), Checklist[[#This Row],[Type]] = "*")</f>
        <v>0</v>
      </c>
    </row>
    <row r="186" spans="4:16" x14ac:dyDescent="0.2">
      <c r="D186" t="s">
        <v>8</v>
      </c>
      <c r="E186" t="s">
        <v>78</v>
      </c>
      <c r="F186" t="s">
        <v>577</v>
      </c>
      <c r="G186" t="s">
        <v>578</v>
      </c>
      <c r="H186" t="s">
        <v>579</v>
      </c>
      <c r="I186" t="s">
        <v>13</v>
      </c>
      <c r="J186" t="s">
        <v>14</v>
      </c>
      <c r="O186" t="b">
        <f>IF(COUNTIFS($F$2:F186, F186, $P$2:P186, TRUE)&gt;1,TRUE,FALSE)</f>
        <v>0</v>
      </c>
      <c r="P186" t="b">
        <f>OR(ISNUMBER(MATCH(Checklist[[#This Row],[Type]], $B$3:$B$22, 0)), Checklist[[#This Row],[Type]] = "*")</f>
        <v>0</v>
      </c>
    </row>
    <row r="187" spans="4:16" x14ac:dyDescent="0.2">
      <c r="D187" t="s">
        <v>8</v>
      </c>
      <c r="E187" t="s">
        <v>79</v>
      </c>
      <c r="F187" t="s">
        <v>447</v>
      </c>
      <c r="G187" t="s">
        <v>448</v>
      </c>
      <c r="H187" t="s">
        <v>449</v>
      </c>
      <c r="I187" t="s">
        <v>13</v>
      </c>
      <c r="J187" t="s">
        <v>14</v>
      </c>
      <c r="O187" t="b">
        <f>IF(COUNTIFS($F$2:F187, F187, $P$2:P187, TRUE)&gt;1,TRUE,FALSE)</f>
        <v>0</v>
      </c>
      <c r="P187" t="b">
        <f>OR(ISNUMBER(MATCH(Checklist[[#This Row],[Type]], $B$3:$B$22, 0)), Checklist[[#This Row],[Type]] = "*")</f>
        <v>0</v>
      </c>
    </row>
    <row r="188" spans="4:16" x14ac:dyDescent="0.2">
      <c r="D188" t="s">
        <v>8</v>
      </c>
      <c r="E188" t="s">
        <v>79</v>
      </c>
      <c r="F188" t="s">
        <v>450</v>
      </c>
      <c r="G188" t="s">
        <v>451</v>
      </c>
      <c r="H188" t="s">
        <v>452</v>
      </c>
      <c r="I188" t="s">
        <v>13</v>
      </c>
      <c r="J188" t="s">
        <v>14</v>
      </c>
      <c r="O188" t="b">
        <f>IF(COUNTIFS($F$2:F188, F188, $P$2:P188, TRUE)&gt;1,TRUE,FALSE)</f>
        <v>0</v>
      </c>
      <c r="P188" t="b">
        <f>OR(ISNUMBER(MATCH(Checklist[[#This Row],[Type]], $B$3:$B$22, 0)), Checklist[[#This Row],[Type]] = "*")</f>
        <v>0</v>
      </c>
    </row>
    <row r="189" spans="4:16" x14ac:dyDescent="0.2">
      <c r="D189" t="s">
        <v>8</v>
      </c>
      <c r="E189" t="s">
        <v>79</v>
      </c>
      <c r="F189" t="s">
        <v>453</v>
      </c>
      <c r="G189" t="s">
        <v>454</v>
      </c>
      <c r="H189" t="s">
        <v>455</v>
      </c>
      <c r="I189" t="s">
        <v>13</v>
      </c>
      <c r="J189" t="s">
        <v>14</v>
      </c>
      <c r="O189" t="b">
        <f>IF(COUNTIFS($F$2:F189, F189, $P$2:P189, TRUE)&gt;1,TRUE,FALSE)</f>
        <v>0</v>
      </c>
      <c r="P189" t="b">
        <f>OR(ISNUMBER(MATCH(Checklist[[#This Row],[Type]], $B$3:$B$22, 0)), Checklist[[#This Row],[Type]] = "*")</f>
        <v>0</v>
      </c>
    </row>
    <row r="190" spans="4:16" x14ac:dyDescent="0.2">
      <c r="D190" t="s">
        <v>8</v>
      </c>
      <c r="E190" t="s">
        <v>79</v>
      </c>
      <c r="F190" t="s">
        <v>456</v>
      </c>
      <c r="G190" t="s">
        <v>457</v>
      </c>
      <c r="H190" t="s">
        <v>813</v>
      </c>
      <c r="I190" t="s">
        <v>13</v>
      </c>
      <c r="J190" t="s">
        <v>14</v>
      </c>
      <c r="O190" t="b">
        <f>IF(COUNTIFS($F$2:F190, F190, $P$2:P190, TRUE)&gt;1,TRUE,FALSE)</f>
        <v>0</v>
      </c>
      <c r="P190" t="b">
        <f>OR(ISNUMBER(MATCH(Checklist[[#This Row],[Type]], $B$3:$B$22, 0)), Checklist[[#This Row],[Type]] = "*")</f>
        <v>0</v>
      </c>
    </row>
    <row r="191" spans="4:16" x14ac:dyDescent="0.2">
      <c r="D191" t="s">
        <v>8</v>
      </c>
      <c r="E191" t="s">
        <v>79</v>
      </c>
      <c r="F191" t="s">
        <v>799</v>
      </c>
      <c r="G191" t="s">
        <v>800</v>
      </c>
      <c r="H191" t="s">
        <v>801</v>
      </c>
      <c r="I191" t="s">
        <v>13</v>
      </c>
      <c r="J191" t="s">
        <v>14</v>
      </c>
      <c r="O191" t="b">
        <f>IF(COUNTIFS($F$2:F191, F191, $P$2:P191, TRUE)&gt;1,TRUE,FALSE)</f>
        <v>0</v>
      </c>
      <c r="P191" t="b">
        <f>OR(ISNUMBER(MATCH(Checklist[[#This Row],[Type]], $B$3:$B$22, 0)), Checklist[[#This Row],[Type]] = "*")</f>
        <v>0</v>
      </c>
    </row>
    <row r="192" spans="4:16" x14ac:dyDescent="0.2">
      <c r="D192" t="s">
        <v>8</v>
      </c>
      <c r="E192" t="s">
        <v>79</v>
      </c>
      <c r="F192" t="s">
        <v>458</v>
      </c>
      <c r="G192" t="s">
        <v>56</v>
      </c>
      <c r="H192" t="s">
        <v>57</v>
      </c>
      <c r="I192" t="s">
        <v>13</v>
      </c>
      <c r="J192" t="s">
        <v>14</v>
      </c>
      <c r="O192" t="b">
        <f>IF(COUNTIFS($F$2:F192, F192, $P$2:P192, TRUE)&gt;1,TRUE,FALSE)</f>
        <v>0</v>
      </c>
      <c r="P192" t="b">
        <f>OR(ISNUMBER(MATCH(Checklist[[#This Row],[Type]], $B$3:$B$22, 0)), Checklist[[#This Row],[Type]] = "*")</f>
        <v>0</v>
      </c>
    </row>
    <row r="193" spans="4:16" x14ac:dyDescent="0.2">
      <c r="D193" t="s">
        <v>8</v>
      </c>
      <c r="E193" t="s">
        <v>79</v>
      </c>
      <c r="F193" t="s">
        <v>459</v>
      </c>
      <c r="G193" t="s">
        <v>460</v>
      </c>
      <c r="H193" t="s">
        <v>461</v>
      </c>
      <c r="I193" t="s">
        <v>13</v>
      </c>
      <c r="J193" t="s">
        <v>14</v>
      </c>
      <c r="O193" t="b">
        <f>IF(COUNTIFS($F$2:F193, F193, $P$2:P193, TRUE)&gt;1,TRUE,FALSE)</f>
        <v>0</v>
      </c>
      <c r="P193" t="b">
        <f>OR(ISNUMBER(MATCH(Checklist[[#This Row],[Type]], $B$3:$B$22, 0)), Checklist[[#This Row],[Type]] = "*")</f>
        <v>0</v>
      </c>
    </row>
    <row r="194" spans="4:16" x14ac:dyDescent="0.2">
      <c r="D194" t="s">
        <v>8</v>
      </c>
      <c r="E194" t="s">
        <v>79</v>
      </c>
      <c r="F194" t="s">
        <v>462</v>
      </c>
      <c r="G194" t="s">
        <v>423</v>
      </c>
      <c r="H194" t="s">
        <v>424</v>
      </c>
      <c r="I194" t="s">
        <v>13</v>
      </c>
      <c r="J194" t="s">
        <v>14</v>
      </c>
      <c r="O194" t="b">
        <f>IF(COUNTIFS($F$2:F194, F194, $P$2:P194, TRUE)&gt;1,TRUE,FALSE)</f>
        <v>0</v>
      </c>
      <c r="P194" t="b">
        <f>OR(ISNUMBER(MATCH(Checklist[[#This Row],[Type]], $B$3:$B$22, 0)), Checklist[[#This Row],[Type]] = "*")</f>
        <v>0</v>
      </c>
    </row>
    <row r="195" spans="4:16" x14ac:dyDescent="0.2">
      <c r="D195" t="s">
        <v>8</v>
      </c>
      <c r="E195" t="s">
        <v>80</v>
      </c>
      <c r="F195" t="s">
        <v>488</v>
      </c>
      <c r="G195" t="s">
        <v>442</v>
      </c>
      <c r="H195" t="s">
        <v>443</v>
      </c>
      <c r="I195" t="s">
        <v>13</v>
      </c>
      <c r="J195" t="s">
        <v>14</v>
      </c>
      <c r="O195" t="b">
        <f>IF(COUNTIFS($F$2:F195, F195, $P$2:P195, TRUE)&gt;1,TRUE,FALSE)</f>
        <v>0</v>
      </c>
      <c r="P195" t="b">
        <f>OR(ISNUMBER(MATCH(Checklist[[#This Row],[Type]], $B$3:$B$22, 0)), Checklist[[#This Row],[Type]] = "*")</f>
        <v>0</v>
      </c>
    </row>
    <row r="196" spans="4:16" x14ac:dyDescent="0.2">
      <c r="D196" t="s">
        <v>8</v>
      </c>
      <c r="E196" t="s">
        <v>80</v>
      </c>
      <c r="F196" t="s">
        <v>489</v>
      </c>
      <c r="G196" t="s">
        <v>490</v>
      </c>
      <c r="H196" t="s">
        <v>491</v>
      </c>
      <c r="I196" t="s">
        <v>13</v>
      </c>
      <c r="J196" t="s">
        <v>14</v>
      </c>
      <c r="O196" t="b">
        <f>IF(COUNTIFS($F$2:F196, F196, $P$2:P196, TRUE)&gt;1,TRUE,FALSE)</f>
        <v>0</v>
      </c>
      <c r="P196" t="b">
        <f>OR(ISNUMBER(MATCH(Checklist[[#This Row],[Type]], $B$3:$B$22, 0)), Checklist[[#This Row],[Type]] = "*")</f>
        <v>0</v>
      </c>
    </row>
    <row r="197" spans="4:16" x14ac:dyDescent="0.2">
      <c r="D197" t="s">
        <v>8</v>
      </c>
      <c r="E197" t="s">
        <v>80</v>
      </c>
      <c r="F197" t="s">
        <v>492</v>
      </c>
      <c r="G197" t="s">
        <v>423</v>
      </c>
      <c r="H197" t="s">
        <v>424</v>
      </c>
      <c r="I197" t="s">
        <v>13</v>
      </c>
      <c r="J197" t="s">
        <v>14</v>
      </c>
      <c r="O197" t="b">
        <f>IF(COUNTIFS($F$2:F197, F197, $P$2:P197, TRUE)&gt;1,TRUE,FALSE)</f>
        <v>0</v>
      </c>
      <c r="P197" t="b">
        <f>OR(ISNUMBER(MATCH(Checklist[[#This Row],[Type]], $B$3:$B$22, 0)), Checklist[[#This Row],[Type]] = "*")</f>
        <v>0</v>
      </c>
    </row>
    <row r="198" spans="4:16" x14ac:dyDescent="0.2">
      <c r="D198" t="s">
        <v>8</v>
      </c>
      <c r="E198" t="s">
        <v>80</v>
      </c>
      <c r="F198" t="s">
        <v>493</v>
      </c>
      <c r="G198" t="s">
        <v>204</v>
      </c>
      <c r="H198" t="s">
        <v>426</v>
      </c>
      <c r="I198" t="s">
        <v>13</v>
      </c>
      <c r="J198" t="s">
        <v>14</v>
      </c>
      <c r="O198" t="b">
        <f>IF(COUNTIFS($F$2:F198, F198, $P$2:P198, TRUE)&gt;1,TRUE,FALSE)</f>
        <v>0</v>
      </c>
      <c r="P198" t="b">
        <f>OR(ISNUMBER(MATCH(Checklist[[#This Row],[Type]], $B$3:$B$22, 0)), Checklist[[#This Row],[Type]] = "*")</f>
        <v>0</v>
      </c>
    </row>
    <row r="199" spans="4:16" x14ac:dyDescent="0.2">
      <c r="D199" t="s">
        <v>8</v>
      </c>
      <c r="E199" t="s">
        <v>80</v>
      </c>
      <c r="F199" t="s">
        <v>494</v>
      </c>
      <c r="G199" t="s">
        <v>495</v>
      </c>
      <c r="H199" t="s">
        <v>496</v>
      </c>
      <c r="I199" t="s">
        <v>13</v>
      </c>
      <c r="J199" t="s">
        <v>14</v>
      </c>
      <c r="O199" t="b">
        <f>IF(COUNTIFS($F$2:F199, F199, $P$2:P199, TRUE)&gt;1,TRUE,FALSE)</f>
        <v>0</v>
      </c>
      <c r="P199" t="b">
        <f>OR(ISNUMBER(MATCH(Checklist[[#This Row],[Type]], $B$3:$B$22, 0)), Checklist[[#This Row],[Type]] = "*")</f>
        <v>0</v>
      </c>
    </row>
    <row r="200" spans="4:16" x14ac:dyDescent="0.2">
      <c r="D200" t="s">
        <v>8</v>
      </c>
      <c r="E200" t="s">
        <v>81</v>
      </c>
      <c r="F200" t="s">
        <v>404</v>
      </c>
      <c r="G200" t="s">
        <v>405</v>
      </c>
      <c r="H200" t="s">
        <v>406</v>
      </c>
      <c r="I200" t="s">
        <v>13</v>
      </c>
      <c r="J200" t="s">
        <v>14</v>
      </c>
      <c r="O200" t="b">
        <f>IF(COUNTIFS($F$2:F200, F200, $P$2:P200, TRUE)&gt;1,TRUE,FALSE)</f>
        <v>0</v>
      </c>
      <c r="P200" t="b">
        <f>OR(ISNUMBER(MATCH(Checklist[[#This Row],[Type]], $B$3:$B$22, 0)), Checklist[[#This Row],[Type]] = "*")</f>
        <v>0</v>
      </c>
    </row>
    <row r="201" spans="4:16" x14ac:dyDescent="0.2">
      <c r="D201" t="s">
        <v>8</v>
      </c>
      <c r="E201" t="s">
        <v>81</v>
      </c>
      <c r="F201" t="s">
        <v>407</v>
      </c>
      <c r="G201" t="s">
        <v>408</v>
      </c>
      <c r="H201" t="s">
        <v>409</v>
      </c>
      <c r="I201" t="s">
        <v>13</v>
      </c>
      <c r="J201" t="s">
        <v>14</v>
      </c>
      <c r="O201" t="b">
        <f>IF(COUNTIFS($F$2:F201, F201, $P$2:P201, TRUE)&gt;1,TRUE,FALSE)</f>
        <v>0</v>
      </c>
      <c r="P201" t="b">
        <f>OR(ISNUMBER(MATCH(Checklist[[#This Row],[Type]], $B$3:$B$22, 0)), Checklist[[#This Row],[Type]] = "*")</f>
        <v>0</v>
      </c>
    </row>
    <row r="202" spans="4:16" x14ac:dyDescent="0.2">
      <c r="D202" t="s">
        <v>8</v>
      </c>
      <c r="E202" t="s">
        <v>81</v>
      </c>
      <c r="F202" t="s">
        <v>410</v>
      </c>
      <c r="G202" t="s">
        <v>411</v>
      </c>
      <c r="H202" t="s">
        <v>412</v>
      </c>
      <c r="I202" t="s">
        <v>13</v>
      </c>
      <c r="J202" t="s">
        <v>14</v>
      </c>
      <c r="O202" t="b">
        <f>IF(COUNTIFS($F$2:F202, F202, $P$2:P202, TRUE)&gt;1,TRUE,FALSE)</f>
        <v>0</v>
      </c>
      <c r="P202" t="b">
        <f>OR(ISNUMBER(MATCH(Checklist[[#This Row],[Type]], $B$3:$B$22, 0)), Checklist[[#This Row],[Type]] = "*")</f>
        <v>0</v>
      </c>
    </row>
    <row r="203" spans="4:16" x14ac:dyDescent="0.2">
      <c r="D203" t="s">
        <v>8</v>
      </c>
      <c r="E203" t="s">
        <v>81</v>
      </c>
      <c r="F203" t="s">
        <v>413</v>
      </c>
      <c r="G203" t="s">
        <v>414</v>
      </c>
      <c r="H203" t="s">
        <v>415</v>
      </c>
      <c r="I203" t="s">
        <v>13</v>
      </c>
      <c r="J203" t="s">
        <v>14</v>
      </c>
      <c r="O203" t="b">
        <f>IF(COUNTIFS($F$2:F203, F203, $P$2:P203, TRUE)&gt;1,TRUE,FALSE)</f>
        <v>0</v>
      </c>
      <c r="P203" t="b">
        <f>OR(ISNUMBER(MATCH(Checklist[[#This Row],[Type]], $B$3:$B$22, 0)), Checklist[[#This Row],[Type]] = "*")</f>
        <v>0</v>
      </c>
    </row>
    <row r="204" spans="4:16" x14ac:dyDescent="0.2">
      <c r="D204" t="s">
        <v>8</v>
      </c>
      <c r="E204" t="s">
        <v>81</v>
      </c>
      <c r="F204" t="s">
        <v>416</v>
      </c>
      <c r="G204" t="s">
        <v>417</v>
      </c>
      <c r="H204" t="s">
        <v>418</v>
      </c>
      <c r="I204" t="s">
        <v>13</v>
      </c>
      <c r="J204" t="s">
        <v>14</v>
      </c>
      <c r="O204" t="b">
        <f>IF(COUNTIFS($F$2:F204, F204, $P$2:P204, TRUE)&gt;1,TRUE,FALSE)</f>
        <v>0</v>
      </c>
      <c r="P204" t="b">
        <f>OR(ISNUMBER(MATCH(Checklist[[#This Row],[Type]], $B$3:$B$22, 0)), Checklist[[#This Row],[Type]] = "*")</f>
        <v>0</v>
      </c>
    </row>
    <row r="205" spans="4:16" x14ac:dyDescent="0.2">
      <c r="D205" t="s">
        <v>8</v>
      </c>
      <c r="E205" t="s">
        <v>81</v>
      </c>
      <c r="F205" t="s">
        <v>419</v>
      </c>
      <c r="G205" t="s">
        <v>420</v>
      </c>
      <c r="H205" t="s">
        <v>421</v>
      </c>
      <c r="I205" t="s">
        <v>13</v>
      </c>
      <c r="J205" t="s">
        <v>14</v>
      </c>
      <c r="O205" t="b">
        <f>IF(COUNTIFS($F$2:F205, F205, $P$2:P205, TRUE)&gt;1,TRUE,FALSE)</f>
        <v>0</v>
      </c>
      <c r="P205" t="b">
        <f>OR(ISNUMBER(MATCH(Checklist[[#This Row],[Type]], $B$3:$B$22, 0)), Checklist[[#This Row],[Type]] = "*")</f>
        <v>0</v>
      </c>
    </row>
    <row r="206" spans="4:16" x14ac:dyDescent="0.2">
      <c r="D206" t="s">
        <v>8</v>
      </c>
      <c r="E206" t="s">
        <v>81</v>
      </c>
      <c r="F206" t="s">
        <v>422</v>
      </c>
      <c r="G206" t="s">
        <v>423</v>
      </c>
      <c r="H206" t="s">
        <v>424</v>
      </c>
      <c r="I206" t="s">
        <v>13</v>
      </c>
      <c r="J206" t="s">
        <v>14</v>
      </c>
      <c r="O206" t="b">
        <f>IF(COUNTIFS($F$2:F206, F206, $P$2:P206, TRUE)&gt;1,TRUE,FALSE)</f>
        <v>0</v>
      </c>
      <c r="P206" t="b">
        <f>OR(ISNUMBER(MATCH(Checklist[[#This Row],[Type]], $B$3:$B$22, 0)), Checklist[[#This Row],[Type]] = "*")</f>
        <v>0</v>
      </c>
    </row>
    <row r="207" spans="4:16" x14ac:dyDescent="0.2">
      <c r="D207" t="s">
        <v>8</v>
      </c>
      <c r="E207" t="s">
        <v>81</v>
      </c>
      <c r="F207" t="s">
        <v>425</v>
      </c>
      <c r="G207" t="s">
        <v>204</v>
      </c>
      <c r="H207" t="s">
        <v>426</v>
      </c>
      <c r="I207" t="s">
        <v>13</v>
      </c>
      <c r="J207" t="s">
        <v>14</v>
      </c>
      <c r="O207" t="b">
        <f>IF(COUNTIFS($F$2:F207, F207, $P$2:P207, TRUE)&gt;1,TRUE,FALSE)</f>
        <v>0</v>
      </c>
      <c r="P207" t="b">
        <f>OR(ISNUMBER(MATCH(Checklist[[#This Row],[Type]], $B$3:$B$22, 0)), Checklist[[#This Row],[Type]] = "*")</f>
        <v>0</v>
      </c>
    </row>
    <row r="208" spans="4:16" x14ac:dyDescent="0.2">
      <c r="D208" t="s">
        <v>8</v>
      </c>
      <c r="E208" t="s">
        <v>81</v>
      </c>
      <c r="F208" t="s">
        <v>427</v>
      </c>
      <c r="G208" t="s">
        <v>133</v>
      </c>
      <c r="H208" t="s">
        <v>428</v>
      </c>
      <c r="I208" t="s">
        <v>13</v>
      </c>
      <c r="J208" t="s">
        <v>14</v>
      </c>
      <c r="O208" t="b">
        <f>IF(COUNTIFS($F$2:F208, F208, $P$2:P208, TRUE)&gt;1,TRUE,FALSE)</f>
        <v>0</v>
      </c>
      <c r="P208" t="b">
        <f>OR(ISNUMBER(MATCH(Checklist[[#This Row],[Type]], $B$3:$B$22, 0)), Checklist[[#This Row],[Type]] = "*")</f>
        <v>0</v>
      </c>
    </row>
    <row r="209" spans="4:16" x14ac:dyDescent="0.2">
      <c r="D209" t="s">
        <v>8</v>
      </c>
      <c r="E209" t="s">
        <v>81</v>
      </c>
      <c r="F209" t="s">
        <v>582</v>
      </c>
      <c r="G209" t="s">
        <v>82</v>
      </c>
      <c r="H209" t="s">
        <v>83</v>
      </c>
      <c r="I209" t="s">
        <v>13</v>
      </c>
      <c r="J209" t="s">
        <v>14</v>
      </c>
      <c r="O209" t="b">
        <f>IF(COUNTIFS($F$2:F209, F209, $P$2:P209, TRUE)&gt;1,TRUE,FALSE)</f>
        <v>0</v>
      </c>
      <c r="P209" t="b">
        <f>OR(ISNUMBER(MATCH(Checklist[[#This Row],[Type]], $B$3:$B$22, 0)), Checklist[[#This Row],[Type]] = "*")</f>
        <v>0</v>
      </c>
    </row>
    <row r="210" spans="4:16" x14ac:dyDescent="0.2">
      <c r="D210" t="s">
        <v>8</v>
      </c>
      <c r="E210" t="s">
        <v>81</v>
      </c>
      <c r="F210" t="s">
        <v>583</v>
      </c>
      <c r="G210" t="s">
        <v>84</v>
      </c>
      <c r="H210" t="s">
        <v>85</v>
      </c>
      <c r="I210" t="s">
        <v>13</v>
      </c>
      <c r="J210" t="s">
        <v>14</v>
      </c>
      <c r="O210" t="b">
        <f>IF(COUNTIFS($F$2:F210, F210, $P$2:P210, TRUE)&gt;1,TRUE,FALSE)</f>
        <v>0</v>
      </c>
      <c r="P210" t="b">
        <f>OR(ISNUMBER(MATCH(Checklist[[#This Row],[Type]], $B$3:$B$22, 0)), Checklist[[#This Row],[Type]] = "*")</f>
        <v>0</v>
      </c>
    </row>
    <row r="211" spans="4:16" x14ac:dyDescent="0.2">
      <c r="D211" t="s">
        <v>8</v>
      </c>
      <c r="E211" t="s">
        <v>81</v>
      </c>
      <c r="F211" t="s">
        <v>584</v>
      </c>
      <c r="G211" t="s">
        <v>445</v>
      </c>
      <c r="H211" t="s">
        <v>446</v>
      </c>
      <c r="I211" t="s">
        <v>13</v>
      </c>
      <c r="J211" t="s">
        <v>14</v>
      </c>
      <c r="O211" t="b">
        <f>IF(COUNTIFS($F$2:F211, F211, $P$2:P211, TRUE)&gt;1,TRUE,FALSE)</f>
        <v>0</v>
      </c>
      <c r="P211" t="b">
        <f>OR(ISNUMBER(MATCH(Checklist[[#This Row],[Type]], $B$3:$B$22, 0)), Checklist[[#This Row],[Type]] = "*")</f>
        <v>0</v>
      </c>
    </row>
    <row r="212" spans="4:16" x14ac:dyDescent="0.2">
      <c r="D212" t="s">
        <v>8</v>
      </c>
      <c r="E212" t="s">
        <v>81</v>
      </c>
      <c r="F212" t="s">
        <v>804</v>
      </c>
      <c r="G212" t="s">
        <v>805</v>
      </c>
      <c r="H212" t="s">
        <v>806</v>
      </c>
      <c r="I212" t="s">
        <v>13</v>
      </c>
      <c r="J212" t="s">
        <v>14</v>
      </c>
      <c r="O212" t="b">
        <f>IF(COUNTIFS($F$2:F212, F212, $P$2:P212, TRUE)&gt;1,TRUE,FALSE)</f>
        <v>0</v>
      </c>
      <c r="P212" t="b">
        <f>OR(ISNUMBER(MATCH(Checklist[[#This Row],[Type]], $B$3:$B$22, 0)), Checklist[[#This Row],[Type]] = "*")</f>
        <v>0</v>
      </c>
    </row>
    <row r="213" spans="4:16" x14ac:dyDescent="0.2">
      <c r="D213" t="s">
        <v>8</v>
      </c>
      <c r="E213" t="s">
        <v>88</v>
      </c>
      <c r="F213" t="s">
        <v>585</v>
      </c>
      <c r="G213" t="s">
        <v>86</v>
      </c>
      <c r="H213" t="s">
        <v>383</v>
      </c>
      <c r="I213" t="s">
        <v>13</v>
      </c>
      <c r="J213" t="s">
        <v>14</v>
      </c>
      <c r="O213" t="b">
        <f>IF(COUNTIFS($F$2:F213, F213, $P$2:P213, TRUE)&gt;1,TRUE,FALSE)</f>
        <v>0</v>
      </c>
      <c r="P213" t="b">
        <f>OR(ISNUMBER(MATCH(Checklist[[#This Row],[Type]], $B$3:$B$22, 0)), Checklist[[#This Row],[Type]] = "*")</f>
        <v>0</v>
      </c>
    </row>
    <row r="214" spans="4:16" x14ac:dyDescent="0.2">
      <c r="D214" t="s">
        <v>8</v>
      </c>
      <c r="E214" t="s">
        <v>88</v>
      </c>
      <c r="F214" t="s">
        <v>586</v>
      </c>
      <c r="G214" t="s">
        <v>385</v>
      </c>
      <c r="H214" t="s">
        <v>386</v>
      </c>
      <c r="I214" t="s">
        <v>13</v>
      </c>
      <c r="J214" t="s">
        <v>14</v>
      </c>
      <c r="O214" t="b">
        <f>IF(COUNTIFS($F$2:F214, F214, $P$2:P214, TRUE)&gt;1,TRUE,FALSE)</f>
        <v>0</v>
      </c>
      <c r="P214" t="b">
        <f>OR(ISNUMBER(MATCH(Checklist[[#This Row],[Type]], $B$3:$B$22, 0)), Checklist[[#This Row],[Type]] = "*")</f>
        <v>0</v>
      </c>
    </row>
    <row r="215" spans="4:16" x14ac:dyDescent="0.2">
      <c r="D215" t="s">
        <v>8</v>
      </c>
      <c r="E215" t="s">
        <v>88</v>
      </c>
      <c r="F215" t="s">
        <v>587</v>
      </c>
      <c r="G215" t="s">
        <v>401</v>
      </c>
      <c r="H215" t="s">
        <v>402</v>
      </c>
      <c r="I215" t="s">
        <v>13</v>
      </c>
      <c r="J215" t="s">
        <v>14</v>
      </c>
      <c r="O215" t="b">
        <f>IF(COUNTIFS($F$2:F215, F215, $P$2:P215, TRUE)&gt;1,TRUE,FALSE)</f>
        <v>0</v>
      </c>
      <c r="P215" t="b">
        <f>OR(ISNUMBER(MATCH(Checklist[[#This Row],[Type]], $B$3:$B$22, 0)), Checklist[[#This Row],[Type]] = "*")</f>
        <v>0</v>
      </c>
    </row>
    <row r="216" spans="4:16" x14ac:dyDescent="0.2">
      <c r="D216" t="s">
        <v>8</v>
      </c>
      <c r="E216" t="s">
        <v>88</v>
      </c>
      <c r="F216" t="s">
        <v>588</v>
      </c>
      <c r="G216" t="s">
        <v>589</v>
      </c>
      <c r="H216" t="s">
        <v>590</v>
      </c>
      <c r="I216" t="s">
        <v>13</v>
      </c>
      <c r="J216" t="s">
        <v>14</v>
      </c>
      <c r="O216" t="b">
        <f>IF(COUNTIFS($F$2:F216, F216, $P$2:P216, TRUE)&gt;1,TRUE,FALSE)</f>
        <v>0</v>
      </c>
      <c r="P216" t="b">
        <f>OR(ISNUMBER(MATCH(Checklist[[#This Row],[Type]], $B$3:$B$22, 0)), Checklist[[#This Row],[Type]] = "*")</f>
        <v>0</v>
      </c>
    </row>
    <row r="217" spans="4:16" x14ac:dyDescent="0.2">
      <c r="D217" t="s">
        <v>8</v>
      </c>
      <c r="E217" t="s">
        <v>88</v>
      </c>
      <c r="F217" t="s">
        <v>591</v>
      </c>
      <c r="G217" t="s">
        <v>388</v>
      </c>
      <c r="H217" t="s">
        <v>389</v>
      </c>
      <c r="I217" t="s">
        <v>13</v>
      </c>
      <c r="J217" t="s">
        <v>14</v>
      </c>
      <c r="O217" t="b">
        <f>IF(COUNTIFS($F$2:F217, F217, $P$2:P217, TRUE)&gt;1,TRUE,FALSE)</f>
        <v>0</v>
      </c>
      <c r="P217" t="b">
        <f>OR(ISNUMBER(MATCH(Checklist[[#This Row],[Type]], $B$3:$B$22, 0)), Checklist[[#This Row],[Type]] = "*")</f>
        <v>0</v>
      </c>
    </row>
    <row r="218" spans="4:16" x14ac:dyDescent="0.2">
      <c r="D218" t="s">
        <v>8</v>
      </c>
      <c r="E218" t="s">
        <v>88</v>
      </c>
      <c r="F218" t="s">
        <v>592</v>
      </c>
      <c r="G218" t="s">
        <v>391</v>
      </c>
      <c r="H218" t="s">
        <v>593</v>
      </c>
      <c r="I218" t="s">
        <v>13</v>
      </c>
      <c r="J218" t="s">
        <v>14</v>
      </c>
      <c r="O218" t="b">
        <f>IF(COUNTIFS($F$2:F218, F218, $P$2:P218, TRUE)&gt;1,TRUE,FALSE)</f>
        <v>0</v>
      </c>
      <c r="P218" t="b">
        <f>OR(ISNUMBER(MATCH(Checklist[[#This Row],[Type]], $B$3:$B$22, 0)), Checklist[[#This Row],[Type]] = "*")</f>
        <v>0</v>
      </c>
    </row>
    <row r="219" spans="4:16" x14ac:dyDescent="0.2">
      <c r="D219" t="s">
        <v>8</v>
      </c>
      <c r="E219" t="s">
        <v>88</v>
      </c>
      <c r="F219" t="s">
        <v>594</v>
      </c>
      <c r="G219" t="s">
        <v>161</v>
      </c>
      <c r="H219" t="s">
        <v>396</v>
      </c>
      <c r="I219" t="s">
        <v>13</v>
      </c>
      <c r="J219" t="s">
        <v>14</v>
      </c>
      <c r="O219" t="b">
        <f>IF(COUNTIFS($F$2:F219, F219, $P$2:P219, TRUE)&gt;1,TRUE,FALSE)</f>
        <v>0</v>
      </c>
      <c r="P219" t="b">
        <f>OR(ISNUMBER(MATCH(Checklist[[#This Row],[Type]], $B$3:$B$22, 0)), Checklist[[#This Row],[Type]] = "*")</f>
        <v>0</v>
      </c>
    </row>
    <row r="220" spans="4:16" x14ac:dyDescent="0.2">
      <c r="D220" t="s">
        <v>8</v>
      </c>
      <c r="E220" t="s">
        <v>89</v>
      </c>
      <c r="F220" t="s">
        <v>404</v>
      </c>
      <c r="G220" t="s">
        <v>405</v>
      </c>
      <c r="H220" t="s">
        <v>406</v>
      </c>
      <c r="I220" t="s">
        <v>13</v>
      </c>
      <c r="J220" t="s">
        <v>14</v>
      </c>
      <c r="O220" t="b">
        <f>IF(COUNTIFS($F$2:F220, F220, $P$2:P220, TRUE)&gt;1,TRUE,FALSE)</f>
        <v>0</v>
      </c>
      <c r="P220" t="b">
        <f>OR(ISNUMBER(MATCH(Checklist[[#This Row],[Type]], $B$3:$B$22, 0)), Checklist[[#This Row],[Type]] = "*")</f>
        <v>0</v>
      </c>
    </row>
    <row r="221" spans="4:16" x14ac:dyDescent="0.2">
      <c r="D221" t="s">
        <v>8</v>
      </c>
      <c r="E221" t="s">
        <v>89</v>
      </c>
      <c r="F221" t="s">
        <v>407</v>
      </c>
      <c r="G221" t="s">
        <v>408</v>
      </c>
      <c r="H221" t="s">
        <v>409</v>
      </c>
      <c r="I221" t="s">
        <v>13</v>
      </c>
      <c r="J221" t="s">
        <v>14</v>
      </c>
      <c r="O221" t="b">
        <f>IF(COUNTIFS($F$2:F221, F221, $P$2:P221, TRUE)&gt;1,TRUE,FALSE)</f>
        <v>0</v>
      </c>
      <c r="P221" t="b">
        <f>OR(ISNUMBER(MATCH(Checklist[[#This Row],[Type]], $B$3:$B$22, 0)), Checklist[[#This Row],[Type]] = "*")</f>
        <v>0</v>
      </c>
    </row>
    <row r="222" spans="4:16" x14ac:dyDescent="0.2">
      <c r="D222" t="s">
        <v>8</v>
      </c>
      <c r="E222" t="s">
        <v>89</v>
      </c>
      <c r="F222" t="s">
        <v>410</v>
      </c>
      <c r="G222" t="s">
        <v>411</v>
      </c>
      <c r="H222" t="s">
        <v>412</v>
      </c>
      <c r="I222" t="s">
        <v>13</v>
      </c>
      <c r="J222" t="s">
        <v>14</v>
      </c>
      <c r="O222" t="b">
        <f>IF(COUNTIFS($F$2:F222, F222, $P$2:P222, TRUE)&gt;1,TRUE,FALSE)</f>
        <v>0</v>
      </c>
      <c r="P222" t="b">
        <f>OR(ISNUMBER(MATCH(Checklist[[#This Row],[Type]], $B$3:$B$22, 0)), Checklist[[#This Row],[Type]] = "*")</f>
        <v>0</v>
      </c>
    </row>
    <row r="223" spans="4:16" x14ac:dyDescent="0.2">
      <c r="D223" t="s">
        <v>8</v>
      </c>
      <c r="E223" t="s">
        <v>89</v>
      </c>
      <c r="F223" t="s">
        <v>413</v>
      </c>
      <c r="G223" t="s">
        <v>414</v>
      </c>
      <c r="H223" t="s">
        <v>415</v>
      </c>
      <c r="I223" t="s">
        <v>13</v>
      </c>
      <c r="J223" t="s">
        <v>14</v>
      </c>
      <c r="O223" t="b">
        <f>IF(COUNTIFS($F$2:F223, F223, $P$2:P223, TRUE)&gt;1,TRUE,FALSE)</f>
        <v>0</v>
      </c>
      <c r="P223" t="b">
        <f>OR(ISNUMBER(MATCH(Checklist[[#This Row],[Type]], $B$3:$B$22, 0)), Checklist[[#This Row],[Type]] = "*")</f>
        <v>0</v>
      </c>
    </row>
    <row r="224" spans="4:16" x14ac:dyDescent="0.2">
      <c r="D224" t="s">
        <v>8</v>
      </c>
      <c r="E224" t="s">
        <v>89</v>
      </c>
      <c r="F224" t="s">
        <v>416</v>
      </c>
      <c r="G224" t="s">
        <v>417</v>
      </c>
      <c r="H224" t="s">
        <v>418</v>
      </c>
      <c r="I224" t="s">
        <v>13</v>
      </c>
      <c r="J224" t="s">
        <v>14</v>
      </c>
      <c r="O224" t="b">
        <f>IF(COUNTIFS($F$2:F224, F224, $P$2:P224, TRUE)&gt;1,TRUE,FALSE)</f>
        <v>0</v>
      </c>
      <c r="P224" t="b">
        <f>OR(ISNUMBER(MATCH(Checklist[[#This Row],[Type]], $B$3:$B$22, 0)), Checklist[[#This Row],[Type]] = "*")</f>
        <v>0</v>
      </c>
    </row>
    <row r="225" spans="4:16" x14ac:dyDescent="0.2">
      <c r="D225" t="s">
        <v>8</v>
      </c>
      <c r="E225" t="s">
        <v>89</v>
      </c>
      <c r="F225" t="s">
        <v>419</v>
      </c>
      <c r="G225" t="s">
        <v>420</v>
      </c>
      <c r="H225" t="s">
        <v>421</v>
      </c>
      <c r="I225" t="s">
        <v>13</v>
      </c>
      <c r="J225" t="s">
        <v>14</v>
      </c>
      <c r="O225" t="b">
        <f>IF(COUNTIFS($F$2:F225, F225, $P$2:P225, TRUE)&gt;1,TRUE,FALSE)</f>
        <v>0</v>
      </c>
      <c r="P225" t="b">
        <f>OR(ISNUMBER(MATCH(Checklist[[#This Row],[Type]], $B$3:$B$22, 0)), Checklist[[#This Row],[Type]] = "*")</f>
        <v>0</v>
      </c>
    </row>
    <row r="226" spans="4:16" x14ac:dyDescent="0.2">
      <c r="D226" t="s">
        <v>8</v>
      </c>
      <c r="E226" t="s">
        <v>89</v>
      </c>
      <c r="F226" t="s">
        <v>422</v>
      </c>
      <c r="G226" t="s">
        <v>423</v>
      </c>
      <c r="H226" t="s">
        <v>424</v>
      </c>
      <c r="I226" t="s">
        <v>13</v>
      </c>
      <c r="J226" t="s">
        <v>14</v>
      </c>
      <c r="O226" t="b">
        <f>IF(COUNTIFS($F$2:F226, F226, $P$2:P226, TRUE)&gt;1,TRUE,FALSE)</f>
        <v>0</v>
      </c>
      <c r="P226" t="b">
        <f>OR(ISNUMBER(MATCH(Checklist[[#This Row],[Type]], $B$3:$B$22, 0)), Checklist[[#This Row],[Type]] = "*")</f>
        <v>0</v>
      </c>
    </row>
    <row r="227" spans="4:16" x14ac:dyDescent="0.2">
      <c r="D227" t="s">
        <v>8</v>
      </c>
      <c r="E227" t="s">
        <v>89</v>
      </c>
      <c r="F227" t="s">
        <v>427</v>
      </c>
      <c r="G227" t="s">
        <v>133</v>
      </c>
      <c r="H227" t="s">
        <v>428</v>
      </c>
      <c r="I227" t="s">
        <v>13</v>
      </c>
      <c r="J227" t="s">
        <v>14</v>
      </c>
      <c r="O227" t="b">
        <f>IF(COUNTIFS($F$2:F227, F227, $P$2:P227, TRUE)&gt;1,TRUE,FALSE)</f>
        <v>0</v>
      </c>
      <c r="P227" t="b">
        <f>OR(ISNUMBER(MATCH(Checklist[[#This Row],[Type]], $B$3:$B$22, 0)), Checklist[[#This Row],[Type]] = "*")</f>
        <v>0</v>
      </c>
    </row>
    <row r="228" spans="4:16" x14ac:dyDescent="0.2">
      <c r="D228" t="s">
        <v>8</v>
      </c>
      <c r="E228" t="s">
        <v>89</v>
      </c>
      <c r="F228" t="s">
        <v>595</v>
      </c>
      <c r="G228" t="s">
        <v>596</v>
      </c>
      <c r="H228" t="s">
        <v>90</v>
      </c>
      <c r="I228" t="s">
        <v>13</v>
      </c>
      <c r="J228" t="s">
        <v>14</v>
      </c>
      <c r="O228" t="b">
        <f>IF(COUNTIFS($F$2:F228, F228, $P$2:P228, TRUE)&gt;1,TRUE,FALSE)</f>
        <v>0</v>
      </c>
      <c r="P228" t="b">
        <f>OR(ISNUMBER(MATCH(Checklist[[#This Row],[Type]], $B$3:$B$22, 0)), Checklist[[#This Row],[Type]] = "*")</f>
        <v>0</v>
      </c>
    </row>
    <row r="229" spans="4:16" x14ac:dyDescent="0.2">
      <c r="D229" t="s">
        <v>8</v>
      </c>
      <c r="E229" t="s">
        <v>89</v>
      </c>
      <c r="F229" t="s">
        <v>597</v>
      </c>
      <c r="G229" t="s">
        <v>598</v>
      </c>
      <c r="H229" t="s">
        <v>599</v>
      </c>
      <c r="I229" t="s">
        <v>13</v>
      </c>
      <c r="J229" t="s">
        <v>14</v>
      </c>
      <c r="O229" t="b">
        <f>IF(COUNTIFS($F$2:F229, F229, $P$2:P229, TRUE)&gt;1,TRUE,FALSE)</f>
        <v>0</v>
      </c>
      <c r="P229" t="b">
        <f>OR(ISNUMBER(MATCH(Checklist[[#This Row],[Type]], $B$3:$B$22, 0)), Checklist[[#This Row],[Type]] = "*")</f>
        <v>0</v>
      </c>
    </row>
    <row r="230" spans="4:16" x14ac:dyDescent="0.2">
      <c r="D230" t="s">
        <v>8</v>
      </c>
      <c r="E230" t="s">
        <v>89</v>
      </c>
      <c r="F230" t="s">
        <v>600</v>
      </c>
      <c r="G230" t="s">
        <v>211</v>
      </c>
      <c r="H230" t="s">
        <v>601</v>
      </c>
      <c r="I230" t="s">
        <v>13</v>
      </c>
      <c r="J230" t="s">
        <v>14</v>
      </c>
      <c r="O230" t="b">
        <f>IF(COUNTIFS($F$2:F230, F230, $P$2:P230, TRUE)&gt;1,TRUE,FALSE)</f>
        <v>0</v>
      </c>
      <c r="P230" t="b">
        <f>OR(ISNUMBER(MATCH(Checklist[[#This Row],[Type]], $B$3:$B$22, 0)), Checklist[[#This Row],[Type]] = "*")</f>
        <v>0</v>
      </c>
    </row>
    <row r="231" spans="4:16" x14ac:dyDescent="0.2">
      <c r="D231" t="s">
        <v>8</v>
      </c>
      <c r="E231" t="s">
        <v>89</v>
      </c>
      <c r="F231" t="s">
        <v>602</v>
      </c>
      <c r="G231" t="s">
        <v>603</v>
      </c>
      <c r="H231" t="s">
        <v>604</v>
      </c>
      <c r="I231" t="s">
        <v>13</v>
      </c>
      <c r="J231" t="s">
        <v>14</v>
      </c>
      <c r="O231" t="b">
        <f>IF(COUNTIFS($F$2:F231, F231, $P$2:P231, TRUE)&gt;1,TRUE,FALSE)</f>
        <v>0</v>
      </c>
      <c r="P231" t="b">
        <f>OR(ISNUMBER(MATCH(Checklist[[#This Row],[Type]], $B$3:$B$22, 0)), Checklist[[#This Row],[Type]] = "*")</f>
        <v>0</v>
      </c>
    </row>
    <row r="232" spans="4:16" x14ac:dyDescent="0.2">
      <c r="D232" t="s">
        <v>8</v>
      </c>
      <c r="E232" t="s">
        <v>89</v>
      </c>
      <c r="F232" t="s">
        <v>605</v>
      </c>
      <c r="G232" t="s">
        <v>56</v>
      </c>
      <c r="H232" t="s">
        <v>57</v>
      </c>
      <c r="I232" t="s">
        <v>13</v>
      </c>
      <c r="J232" t="s">
        <v>14</v>
      </c>
      <c r="O232" t="b">
        <f>IF(COUNTIFS($F$2:F232, F232, $P$2:P232, TRUE)&gt;1,TRUE,FALSE)</f>
        <v>0</v>
      </c>
      <c r="P232" t="b">
        <f>OR(ISNUMBER(MATCH(Checklist[[#This Row],[Type]], $B$3:$B$22, 0)), Checklist[[#This Row],[Type]] = "*")</f>
        <v>0</v>
      </c>
    </row>
    <row r="233" spans="4:16" x14ac:dyDescent="0.2">
      <c r="D233" t="s">
        <v>8</v>
      </c>
      <c r="E233" t="s">
        <v>91</v>
      </c>
      <c r="F233" t="s">
        <v>606</v>
      </c>
      <c r="G233" t="s">
        <v>411</v>
      </c>
      <c r="H233" t="s">
        <v>412</v>
      </c>
      <c r="I233" t="s">
        <v>13</v>
      </c>
      <c r="J233" t="s">
        <v>14</v>
      </c>
      <c r="O233" t="b">
        <f>IF(COUNTIFS($F$2:F233, F233, $P$2:P233, TRUE)&gt;1,TRUE,FALSE)</f>
        <v>0</v>
      </c>
      <c r="P233" t="b">
        <f>OR(ISNUMBER(MATCH(Checklist[[#This Row],[Type]], $B$3:$B$22, 0)), Checklist[[#This Row],[Type]] = "*")</f>
        <v>0</v>
      </c>
    </row>
    <row r="234" spans="4:16" x14ac:dyDescent="0.2">
      <c r="D234" t="s">
        <v>8</v>
      </c>
      <c r="E234" t="s">
        <v>91</v>
      </c>
      <c r="F234" t="s">
        <v>607</v>
      </c>
      <c r="G234" t="s">
        <v>442</v>
      </c>
      <c r="H234" t="s">
        <v>443</v>
      </c>
      <c r="I234" t="s">
        <v>13</v>
      </c>
      <c r="J234" t="s">
        <v>14</v>
      </c>
      <c r="O234" t="b">
        <f>IF(COUNTIFS($F$2:F234, F234, $P$2:P234, TRUE)&gt;1,TRUE,FALSE)</f>
        <v>0</v>
      </c>
      <c r="P234" t="b">
        <f>OR(ISNUMBER(MATCH(Checklist[[#This Row],[Type]], $B$3:$B$22, 0)), Checklist[[#This Row],[Type]] = "*")</f>
        <v>0</v>
      </c>
    </row>
    <row r="235" spans="4:16" x14ac:dyDescent="0.2">
      <c r="D235" t="s">
        <v>8</v>
      </c>
      <c r="E235" t="s">
        <v>91</v>
      </c>
      <c r="F235" t="s">
        <v>608</v>
      </c>
      <c r="G235" t="s">
        <v>167</v>
      </c>
      <c r="H235" t="s">
        <v>609</v>
      </c>
      <c r="I235" t="s">
        <v>13</v>
      </c>
      <c r="J235" t="s">
        <v>14</v>
      </c>
      <c r="O235" t="b">
        <f>IF(COUNTIFS($F$2:F235, F235, $P$2:P235, TRUE)&gt;1,TRUE,FALSE)</f>
        <v>0</v>
      </c>
      <c r="P235" t="b">
        <f>OR(ISNUMBER(MATCH(Checklist[[#This Row],[Type]], $B$3:$B$22, 0)), Checklist[[#This Row],[Type]] = "*")</f>
        <v>0</v>
      </c>
    </row>
    <row r="236" spans="4:16" x14ac:dyDescent="0.2">
      <c r="D236" t="s">
        <v>8</v>
      </c>
      <c r="E236" t="s">
        <v>91</v>
      </c>
      <c r="F236" t="s">
        <v>610</v>
      </c>
      <c r="G236" t="s">
        <v>611</v>
      </c>
      <c r="H236" t="s">
        <v>612</v>
      </c>
      <c r="I236" t="s">
        <v>13</v>
      </c>
      <c r="J236" t="s">
        <v>14</v>
      </c>
      <c r="O236" t="b">
        <f>IF(COUNTIFS($F$2:F236, F236, $P$2:P236, TRUE)&gt;1,TRUE,FALSE)</f>
        <v>0</v>
      </c>
      <c r="P236" t="b">
        <f>OR(ISNUMBER(MATCH(Checklist[[#This Row],[Type]], $B$3:$B$22, 0)), Checklist[[#This Row],[Type]] = "*")</f>
        <v>0</v>
      </c>
    </row>
    <row r="237" spans="4:16" x14ac:dyDescent="0.2">
      <c r="D237" t="s">
        <v>8</v>
      </c>
      <c r="E237" t="s">
        <v>91</v>
      </c>
      <c r="F237" t="s">
        <v>613</v>
      </c>
      <c r="G237" t="s">
        <v>133</v>
      </c>
      <c r="H237" t="s">
        <v>428</v>
      </c>
      <c r="I237" t="s">
        <v>13</v>
      </c>
      <c r="J237" t="s">
        <v>14</v>
      </c>
      <c r="O237" t="b">
        <f>IF(COUNTIFS($F$2:F237, F237, $P$2:P237, TRUE)&gt;1,TRUE,FALSE)</f>
        <v>0</v>
      </c>
      <c r="P237" t="b">
        <f>OR(ISNUMBER(MATCH(Checklist[[#This Row],[Type]], $B$3:$B$22, 0)), Checklist[[#This Row],[Type]] = "*")</f>
        <v>0</v>
      </c>
    </row>
    <row r="238" spans="4:16" x14ac:dyDescent="0.2">
      <c r="D238" t="s">
        <v>8</v>
      </c>
      <c r="E238" t="s">
        <v>91</v>
      </c>
      <c r="F238" t="s">
        <v>614</v>
      </c>
      <c r="G238" t="s">
        <v>615</v>
      </c>
      <c r="H238" t="s">
        <v>616</v>
      </c>
      <c r="I238" t="s">
        <v>13</v>
      </c>
      <c r="J238" t="s">
        <v>14</v>
      </c>
      <c r="O238" t="b">
        <f>IF(COUNTIFS($F$2:F238, F238, $P$2:P238, TRUE)&gt;1,TRUE,FALSE)</f>
        <v>0</v>
      </c>
      <c r="P238" t="b">
        <f>OR(ISNUMBER(MATCH(Checklist[[#This Row],[Type]], $B$3:$B$22, 0)), Checklist[[#This Row],[Type]] = "*")</f>
        <v>0</v>
      </c>
    </row>
    <row r="239" spans="4:16" x14ac:dyDescent="0.2">
      <c r="D239" t="s">
        <v>8</v>
      </c>
      <c r="E239" t="s">
        <v>91</v>
      </c>
      <c r="F239" t="s">
        <v>617</v>
      </c>
      <c r="G239" t="s">
        <v>92</v>
      </c>
      <c r="H239" t="s">
        <v>93</v>
      </c>
      <c r="I239" t="s">
        <v>13</v>
      </c>
      <c r="J239" t="s">
        <v>14</v>
      </c>
      <c r="O239" t="b">
        <f>IF(COUNTIFS($F$2:F239, F239, $P$2:P239, TRUE)&gt;1,TRUE,FALSE)</f>
        <v>0</v>
      </c>
      <c r="P239" t="b">
        <f>OR(ISNUMBER(MATCH(Checklist[[#This Row],[Type]], $B$3:$B$22, 0)), Checklist[[#This Row],[Type]] = "*")</f>
        <v>0</v>
      </c>
    </row>
    <row r="240" spans="4:16" x14ac:dyDescent="0.2">
      <c r="D240" t="s">
        <v>8</v>
      </c>
      <c r="E240" t="s">
        <v>91</v>
      </c>
      <c r="F240" t="s">
        <v>618</v>
      </c>
      <c r="G240" t="s">
        <v>94</v>
      </c>
      <c r="H240" t="s">
        <v>95</v>
      </c>
      <c r="I240" t="s">
        <v>13</v>
      </c>
      <c r="J240" t="s">
        <v>14</v>
      </c>
      <c r="O240" t="b">
        <f>IF(COUNTIFS($F$2:F240, F240, $P$2:P240, TRUE)&gt;1,TRUE,FALSE)</f>
        <v>0</v>
      </c>
      <c r="P240" t="b">
        <f>OR(ISNUMBER(MATCH(Checklist[[#This Row],[Type]], $B$3:$B$22, 0)), Checklist[[#This Row],[Type]] = "*")</f>
        <v>0</v>
      </c>
    </row>
    <row r="241" spans="4:16" x14ac:dyDescent="0.2">
      <c r="D241" t="s">
        <v>8</v>
      </c>
      <c r="E241" t="s">
        <v>98</v>
      </c>
      <c r="F241" t="s">
        <v>488</v>
      </c>
      <c r="G241" t="s">
        <v>442</v>
      </c>
      <c r="H241" t="s">
        <v>443</v>
      </c>
      <c r="I241" t="s">
        <v>13</v>
      </c>
      <c r="J241" t="s">
        <v>14</v>
      </c>
      <c r="O241" t="b">
        <f>IF(COUNTIFS($F$2:F241, F241, $P$2:P241, TRUE)&gt;1,TRUE,FALSE)</f>
        <v>0</v>
      </c>
      <c r="P241" t="b">
        <f>OR(ISNUMBER(MATCH(Checklist[[#This Row],[Type]], $B$3:$B$22, 0)), Checklist[[#This Row],[Type]] = "*")</f>
        <v>0</v>
      </c>
    </row>
    <row r="242" spans="4:16" x14ac:dyDescent="0.2">
      <c r="D242" t="s">
        <v>8</v>
      </c>
      <c r="E242" t="s">
        <v>98</v>
      </c>
      <c r="F242" t="s">
        <v>489</v>
      </c>
      <c r="G242" t="s">
        <v>490</v>
      </c>
      <c r="H242" t="s">
        <v>491</v>
      </c>
      <c r="I242" t="s">
        <v>13</v>
      </c>
      <c r="J242" t="s">
        <v>14</v>
      </c>
      <c r="O242" t="b">
        <f>IF(COUNTIFS($F$2:F242, F242, $P$2:P242, TRUE)&gt;1,TRUE,FALSE)</f>
        <v>0</v>
      </c>
      <c r="P242" t="b">
        <f>OR(ISNUMBER(MATCH(Checklist[[#This Row],[Type]], $B$3:$B$22, 0)), Checklist[[#This Row],[Type]] = "*")</f>
        <v>0</v>
      </c>
    </row>
    <row r="243" spans="4:16" x14ac:dyDescent="0.2">
      <c r="D243" t="s">
        <v>8</v>
      </c>
      <c r="E243" t="s">
        <v>98</v>
      </c>
      <c r="F243" t="s">
        <v>492</v>
      </c>
      <c r="G243" t="s">
        <v>423</v>
      </c>
      <c r="H243" t="s">
        <v>424</v>
      </c>
      <c r="I243" t="s">
        <v>13</v>
      </c>
      <c r="J243" t="s">
        <v>14</v>
      </c>
      <c r="O243" t="b">
        <f>IF(COUNTIFS($F$2:F243, F243, $P$2:P243, TRUE)&gt;1,TRUE,FALSE)</f>
        <v>0</v>
      </c>
      <c r="P243" t="b">
        <f>OR(ISNUMBER(MATCH(Checklist[[#This Row],[Type]], $B$3:$B$22, 0)), Checklist[[#This Row],[Type]] = "*")</f>
        <v>0</v>
      </c>
    </row>
    <row r="244" spans="4:16" x14ac:dyDescent="0.2">
      <c r="D244" t="s">
        <v>8</v>
      </c>
      <c r="E244" t="s">
        <v>98</v>
      </c>
      <c r="F244" t="s">
        <v>493</v>
      </c>
      <c r="G244" t="s">
        <v>204</v>
      </c>
      <c r="H244" t="s">
        <v>426</v>
      </c>
      <c r="I244" t="s">
        <v>13</v>
      </c>
      <c r="J244" t="s">
        <v>14</v>
      </c>
      <c r="O244" t="b">
        <f>IF(COUNTIFS($F$2:F244, F244, $P$2:P244, TRUE)&gt;1,TRUE,FALSE)</f>
        <v>0</v>
      </c>
      <c r="P244" t="b">
        <f>OR(ISNUMBER(MATCH(Checklist[[#This Row],[Type]], $B$3:$B$22, 0)), Checklist[[#This Row],[Type]] = "*")</f>
        <v>0</v>
      </c>
    </row>
    <row r="245" spans="4:16" x14ac:dyDescent="0.2">
      <c r="D245" t="s">
        <v>8</v>
      </c>
      <c r="E245" t="s">
        <v>98</v>
      </c>
      <c r="F245" t="s">
        <v>494</v>
      </c>
      <c r="G245" t="s">
        <v>495</v>
      </c>
      <c r="H245" t="s">
        <v>496</v>
      </c>
      <c r="I245" t="s">
        <v>13</v>
      </c>
      <c r="J245" t="s">
        <v>14</v>
      </c>
      <c r="O245" t="b">
        <f>IF(COUNTIFS($F$2:F245, F245, $P$2:P245, TRUE)&gt;1,TRUE,FALSE)</f>
        <v>0</v>
      </c>
      <c r="P245" t="b">
        <f>OR(ISNUMBER(MATCH(Checklist[[#This Row],[Type]], $B$3:$B$22, 0)), Checklist[[#This Row],[Type]] = "*")</f>
        <v>0</v>
      </c>
    </row>
    <row r="246" spans="4:16" x14ac:dyDescent="0.2">
      <c r="D246" t="s">
        <v>8</v>
      </c>
      <c r="E246" t="s">
        <v>98</v>
      </c>
      <c r="F246" t="s">
        <v>619</v>
      </c>
      <c r="G246" t="s">
        <v>99</v>
      </c>
      <c r="H246" t="s">
        <v>100</v>
      </c>
      <c r="I246" t="s">
        <v>13</v>
      </c>
      <c r="J246" t="s">
        <v>14</v>
      </c>
      <c r="O246" t="b">
        <f>IF(COUNTIFS($F$2:F246, F246, $P$2:P246, TRUE)&gt;1,TRUE,FALSE)</f>
        <v>0</v>
      </c>
      <c r="P246" t="b">
        <f>OR(ISNUMBER(MATCH(Checklist[[#This Row],[Type]], $B$3:$B$22, 0)), Checklist[[#This Row],[Type]] = "*")</f>
        <v>0</v>
      </c>
    </row>
    <row r="247" spans="4:16" x14ac:dyDescent="0.2">
      <c r="D247" t="s">
        <v>8</v>
      </c>
      <c r="E247" t="s">
        <v>98</v>
      </c>
      <c r="F247" t="s">
        <v>620</v>
      </c>
      <c r="G247" t="s">
        <v>101</v>
      </c>
      <c r="H247" t="s">
        <v>102</v>
      </c>
      <c r="I247" t="s">
        <v>13</v>
      </c>
      <c r="J247" t="s">
        <v>14</v>
      </c>
      <c r="O247" t="b">
        <f>IF(COUNTIFS($F$2:F247, F247, $P$2:P247, TRUE)&gt;1,TRUE,FALSE)</f>
        <v>0</v>
      </c>
      <c r="P247" t="b">
        <f>OR(ISNUMBER(MATCH(Checklist[[#This Row],[Type]], $B$3:$B$22, 0)), Checklist[[#This Row],[Type]] = "*")</f>
        <v>0</v>
      </c>
    </row>
    <row r="248" spans="4:16" x14ac:dyDescent="0.2">
      <c r="D248" t="s">
        <v>8</v>
      </c>
      <c r="E248" t="s">
        <v>103</v>
      </c>
      <c r="F248" t="s">
        <v>404</v>
      </c>
      <c r="G248" t="s">
        <v>405</v>
      </c>
      <c r="H248" t="s">
        <v>406</v>
      </c>
      <c r="I248" t="s">
        <v>13</v>
      </c>
      <c r="J248" t="s">
        <v>14</v>
      </c>
      <c r="O248" t="b">
        <f>IF(COUNTIFS($F$2:F248, F248, $P$2:P248, TRUE)&gt;1,TRUE,FALSE)</f>
        <v>0</v>
      </c>
      <c r="P248" t="b">
        <f>OR(ISNUMBER(MATCH(Checklist[[#This Row],[Type]], $B$3:$B$22, 0)), Checklist[[#This Row],[Type]] = "*")</f>
        <v>0</v>
      </c>
    </row>
    <row r="249" spans="4:16" x14ac:dyDescent="0.2">
      <c r="D249" t="s">
        <v>8</v>
      </c>
      <c r="E249" t="s">
        <v>103</v>
      </c>
      <c r="F249" t="s">
        <v>407</v>
      </c>
      <c r="G249" t="s">
        <v>408</v>
      </c>
      <c r="H249" t="s">
        <v>409</v>
      </c>
      <c r="I249" t="s">
        <v>13</v>
      </c>
      <c r="J249" t="s">
        <v>14</v>
      </c>
      <c r="O249" t="b">
        <f>IF(COUNTIFS($F$2:F249, F249, $P$2:P249, TRUE)&gt;1,TRUE,FALSE)</f>
        <v>0</v>
      </c>
      <c r="P249" t="b">
        <f>OR(ISNUMBER(MATCH(Checklist[[#This Row],[Type]], $B$3:$B$22, 0)), Checklist[[#This Row],[Type]] = "*")</f>
        <v>0</v>
      </c>
    </row>
    <row r="250" spans="4:16" x14ac:dyDescent="0.2">
      <c r="D250" t="s">
        <v>8</v>
      </c>
      <c r="E250" t="s">
        <v>103</v>
      </c>
      <c r="F250" t="s">
        <v>410</v>
      </c>
      <c r="G250" t="s">
        <v>411</v>
      </c>
      <c r="H250" t="s">
        <v>412</v>
      </c>
      <c r="I250" t="s">
        <v>13</v>
      </c>
      <c r="J250" t="s">
        <v>14</v>
      </c>
      <c r="O250" t="b">
        <f>IF(COUNTIFS($F$2:F250, F250, $P$2:P250, TRUE)&gt;1,TRUE,FALSE)</f>
        <v>0</v>
      </c>
      <c r="P250" t="b">
        <f>OR(ISNUMBER(MATCH(Checklist[[#This Row],[Type]], $B$3:$B$22, 0)), Checklist[[#This Row],[Type]] = "*")</f>
        <v>0</v>
      </c>
    </row>
    <row r="251" spans="4:16" x14ac:dyDescent="0.2">
      <c r="D251" t="s">
        <v>8</v>
      </c>
      <c r="E251" t="s">
        <v>103</v>
      </c>
      <c r="F251" t="s">
        <v>413</v>
      </c>
      <c r="G251" t="s">
        <v>414</v>
      </c>
      <c r="H251" t="s">
        <v>415</v>
      </c>
      <c r="I251" t="s">
        <v>13</v>
      </c>
      <c r="J251" t="s">
        <v>14</v>
      </c>
      <c r="O251" t="b">
        <f>IF(COUNTIFS($F$2:F251, F251, $P$2:P251, TRUE)&gt;1,TRUE,FALSE)</f>
        <v>0</v>
      </c>
      <c r="P251" t="b">
        <f>OR(ISNUMBER(MATCH(Checklist[[#This Row],[Type]], $B$3:$B$22, 0)), Checklist[[#This Row],[Type]] = "*")</f>
        <v>0</v>
      </c>
    </row>
    <row r="252" spans="4:16" x14ac:dyDescent="0.2">
      <c r="D252" t="s">
        <v>8</v>
      </c>
      <c r="E252" t="s">
        <v>103</v>
      </c>
      <c r="F252" t="s">
        <v>416</v>
      </c>
      <c r="G252" t="s">
        <v>417</v>
      </c>
      <c r="H252" t="s">
        <v>418</v>
      </c>
      <c r="I252" t="s">
        <v>13</v>
      </c>
      <c r="J252" t="s">
        <v>14</v>
      </c>
      <c r="O252" t="b">
        <f>IF(COUNTIFS($F$2:F252, F252, $P$2:P252, TRUE)&gt;1,TRUE,FALSE)</f>
        <v>0</v>
      </c>
      <c r="P252" t="b">
        <f>OR(ISNUMBER(MATCH(Checklist[[#This Row],[Type]], $B$3:$B$22, 0)), Checklist[[#This Row],[Type]] = "*")</f>
        <v>0</v>
      </c>
    </row>
    <row r="253" spans="4:16" x14ac:dyDescent="0.2">
      <c r="D253" t="s">
        <v>8</v>
      </c>
      <c r="E253" t="s">
        <v>103</v>
      </c>
      <c r="F253" t="s">
        <v>419</v>
      </c>
      <c r="G253" t="s">
        <v>420</v>
      </c>
      <c r="H253" t="s">
        <v>421</v>
      </c>
      <c r="I253" t="s">
        <v>13</v>
      </c>
      <c r="J253" t="s">
        <v>14</v>
      </c>
      <c r="O253" t="b">
        <f>IF(COUNTIFS($F$2:F253, F253, $P$2:P253, TRUE)&gt;1,TRUE,FALSE)</f>
        <v>0</v>
      </c>
      <c r="P253" t="b">
        <f>OR(ISNUMBER(MATCH(Checklist[[#This Row],[Type]], $B$3:$B$22, 0)), Checklist[[#This Row],[Type]] = "*")</f>
        <v>0</v>
      </c>
    </row>
    <row r="254" spans="4:16" x14ac:dyDescent="0.2">
      <c r="D254" t="s">
        <v>8</v>
      </c>
      <c r="E254" t="s">
        <v>103</v>
      </c>
      <c r="F254" t="s">
        <v>422</v>
      </c>
      <c r="G254" t="s">
        <v>423</v>
      </c>
      <c r="H254" t="s">
        <v>424</v>
      </c>
      <c r="I254" t="s">
        <v>13</v>
      </c>
      <c r="J254" t="s">
        <v>14</v>
      </c>
      <c r="O254" t="b">
        <f>IF(COUNTIFS($F$2:F254, F254, $P$2:P254, TRUE)&gt;1,TRUE,FALSE)</f>
        <v>0</v>
      </c>
      <c r="P254" t="b">
        <f>OR(ISNUMBER(MATCH(Checklist[[#This Row],[Type]], $B$3:$B$22, 0)), Checklist[[#This Row],[Type]] = "*")</f>
        <v>0</v>
      </c>
    </row>
    <row r="255" spans="4:16" x14ac:dyDescent="0.2">
      <c r="D255" t="s">
        <v>8</v>
      </c>
      <c r="E255" t="s">
        <v>103</v>
      </c>
      <c r="F255" t="s">
        <v>621</v>
      </c>
      <c r="G255" t="s">
        <v>101</v>
      </c>
      <c r="H255" t="s">
        <v>104</v>
      </c>
      <c r="I255" t="s">
        <v>13</v>
      </c>
      <c r="J255" t="s">
        <v>14</v>
      </c>
      <c r="O255" t="b">
        <f>IF(COUNTIFS($F$2:F255, F255, $P$2:P255, TRUE)&gt;1,TRUE,FALSE)</f>
        <v>0</v>
      </c>
      <c r="P255" t="b">
        <f>OR(ISNUMBER(MATCH(Checklist[[#This Row],[Type]], $B$3:$B$22, 0)), Checklist[[#This Row],[Type]] = "*")</f>
        <v>0</v>
      </c>
    </row>
    <row r="256" spans="4:16" x14ac:dyDescent="0.2">
      <c r="D256" t="s">
        <v>8</v>
      </c>
      <c r="E256" t="s">
        <v>103</v>
      </c>
      <c r="F256" t="s">
        <v>622</v>
      </c>
      <c r="G256" t="s">
        <v>56</v>
      </c>
      <c r="H256" t="s">
        <v>57</v>
      </c>
      <c r="I256" t="s">
        <v>13</v>
      </c>
      <c r="J256" t="s">
        <v>14</v>
      </c>
      <c r="O256" t="b">
        <f>IF(COUNTIFS($F$2:F256, F256, $P$2:P256, TRUE)&gt;1,TRUE,FALSE)</f>
        <v>0</v>
      </c>
      <c r="P256" t="b">
        <f>OR(ISNUMBER(MATCH(Checklist[[#This Row],[Type]], $B$3:$B$22, 0)), Checklist[[#This Row],[Type]] = "*")</f>
        <v>0</v>
      </c>
    </row>
    <row r="257" spans="4:16" x14ac:dyDescent="0.2">
      <c r="D257" t="s">
        <v>8</v>
      </c>
      <c r="E257" t="s">
        <v>103</v>
      </c>
      <c r="F257" t="s">
        <v>623</v>
      </c>
      <c r="G257" t="s">
        <v>96</v>
      </c>
      <c r="H257" t="s">
        <v>97</v>
      </c>
      <c r="I257" t="s">
        <v>13</v>
      </c>
      <c r="J257" t="s">
        <v>14</v>
      </c>
      <c r="O257" t="b">
        <f>IF(COUNTIFS($F$2:F257, F257, $P$2:P257, TRUE)&gt;1,TRUE,FALSE)</f>
        <v>0</v>
      </c>
      <c r="P257" t="b">
        <f>OR(ISNUMBER(MATCH(Checklist[[#This Row],[Type]], $B$3:$B$22, 0)), Checklist[[#This Row],[Type]] = "*")</f>
        <v>0</v>
      </c>
    </row>
    <row r="258" spans="4:16" x14ac:dyDescent="0.2">
      <c r="D258" t="s">
        <v>8</v>
      </c>
      <c r="E258" t="s">
        <v>224</v>
      </c>
      <c r="F258" t="s">
        <v>404</v>
      </c>
      <c r="G258" t="s">
        <v>405</v>
      </c>
      <c r="H258" t="s">
        <v>406</v>
      </c>
      <c r="I258" t="s">
        <v>13</v>
      </c>
      <c r="J258" t="s">
        <v>14</v>
      </c>
      <c r="O258" t="b">
        <f>IF(COUNTIFS($F$2:F258, F258, $P$2:P258, TRUE)&gt;1,TRUE,FALSE)</f>
        <v>0</v>
      </c>
      <c r="P258" t="b">
        <f>OR(ISNUMBER(MATCH(Checklist[[#This Row],[Type]], $B$3:$B$22, 0)), Checklist[[#This Row],[Type]] = "*")</f>
        <v>0</v>
      </c>
    </row>
    <row r="259" spans="4:16" x14ac:dyDescent="0.2">
      <c r="D259" t="s">
        <v>8</v>
      </c>
      <c r="E259" t="s">
        <v>224</v>
      </c>
      <c r="F259" t="s">
        <v>407</v>
      </c>
      <c r="G259" t="s">
        <v>408</v>
      </c>
      <c r="H259" t="s">
        <v>409</v>
      </c>
      <c r="I259" t="s">
        <v>13</v>
      </c>
      <c r="J259" t="s">
        <v>14</v>
      </c>
      <c r="O259" t="b">
        <f>IF(COUNTIFS($F$2:F259, F259, $P$2:P259, TRUE)&gt;1,TRUE,FALSE)</f>
        <v>0</v>
      </c>
      <c r="P259" t="b">
        <f>OR(ISNUMBER(MATCH(Checklist[[#This Row],[Type]], $B$3:$B$22, 0)), Checklist[[#This Row],[Type]] = "*")</f>
        <v>0</v>
      </c>
    </row>
    <row r="260" spans="4:16" x14ac:dyDescent="0.2">
      <c r="D260" t="s">
        <v>8</v>
      </c>
      <c r="E260" t="s">
        <v>224</v>
      </c>
      <c r="F260" t="s">
        <v>410</v>
      </c>
      <c r="G260" t="s">
        <v>411</v>
      </c>
      <c r="H260" t="s">
        <v>412</v>
      </c>
      <c r="I260" t="s">
        <v>13</v>
      </c>
      <c r="J260" t="s">
        <v>14</v>
      </c>
      <c r="O260" t="b">
        <f>IF(COUNTIFS($F$2:F260, F260, $P$2:P260, TRUE)&gt;1,TRUE,FALSE)</f>
        <v>0</v>
      </c>
      <c r="P260" t="b">
        <f>OR(ISNUMBER(MATCH(Checklist[[#This Row],[Type]], $B$3:$B$22, 0)), Checklist[[#This Row],[Type]] = "*")</f>
        <v>0</v>
      </c>
    </row>
    <row r="261" spans="4:16" x14ac:dyDescent="0.2">
      <c r="D261" t="s">
        <v>8</v>
      </c>
      <c r="E261" t="s">
        <v>224</v>
      </c>
      <c r="F261" t="s">
        <v>413</v>
      </c>
      <c r="G261" t="s">
        <v>414</v>
      </c>
      <c r="H261" t="s">
        <v>415</v>
      </c>
      <c r="I261" t="s">
        <v>13</v>
      </c>
      <c r="J261" t="s">
        <v>14</v>
      </c>
      <c r="O261" t="b">
        <f>IF(COUNTIFS($F$2:F261, F261, $P$2:P261, TRUE)&gt;1,TRUE,FALSE)</f>
        <v>0</v>
      </c>
      <c r="P261" t="b">
        <f>OR(ISNUMBER(MATCH(Checklist[[#This Row],[Type]], $B$3:$B$22, 0)), Checklist[[#This Row],[Type]] = "*")</f>
        <v>0</v>
      </c>
    </row>
    <row r="262" spans="4:16" x14ac:dyDescent="0.2">
      <c r="D262" t="s">
        <v>8</v>
      </c>
      <c r="E262" t="s">
        <v>224</v>
      </c>
      <c r="F262" t="s">
        <v>416</v>
      </c>
      <c r="G262" t="s">
        <v>417</v>
      </c>
      <c r="H262" t="s">
        <v>418</v>
      </c>
      <c r="I262" t="s">
        <v>13</v>
      </c>
      <c r="J262" t="s">
        <v>14</v>
      </c>
      <c r="O262" t="b">
        <f>IF(COUNTIFS($F$2:F262, F262, $P$2:P262, TRUE)&gt;1,TRUE,FALSE)</f>
        <v>0</v>
      </c>
      <c r="P262" t="b">
        <f>OR(ISNUMBER(MATCH(Checklist[[#This Row],[Type]], $B$3:$B$22, 0)), Checklist[[#This Row],[Type]] = "*")</f>
        <v>0</v>
      </c>
    </row>
    <row r="263" spans="4:16" x14ac:dyDescent="0.2">
      <c r="D263" t="s">
        <v>8</v>
      </c>
      <c r="E263" t="s">
        <v>224</v>
      </c>
      <c r="F263" t="s">
        <v>422</v>
      </c>
      <c r="G263" t="s">
        <v>423</v>
      </c>
      <c r="H263" t="s">
        <v>424</v>
      </c>
      <c r="I263" t="s">
        <v>13</v>
      </c>
      <c r="J263" t="s">
        <v>14</v>
      </c>
      <c r="O263" t="b">
        <f>IF(COUNTIFS($F$2:F263, F263, $P$2:P263, TRUE)&gt;1,TRUE,FALSE)</f>
        <v>0</v>
      </c>
      <c r="P263" t="b">
        <f>OR(ISNUMBER(MATCH(Checklist[[#This Row],[Type]], $B$3:$B$22, 0)), Checklist[[#This Row],[Type]] = "*")</f>
        <v>0</v>
      </c>
    </row>
    <row r="264" spans="4:16" x14ac:dyDescent="0.2">
      <c r="D264" t="s">
        <v>8</v>
      </c>
      <c r="E264" t="s">
        <v>224</v>
      </c>
      <c r="F264" t="s">
        <v>427</v>
      </c>
      <c r="G264" t="s">
        <v>133</v>
      </c>
      <c r="H264" t="s">
        <v>428</v>
      </c>
      <c r="I264" t="s">
        <v>13</v>
      </c>
      <c r="J264" t="s">
        <v>14</v>
      </c>
      <c r="O264" t="b">
        <f>IF(COUNTIFS($F$2:F264, F264, $P$2:P264, TRUE)&gt;1,TRUE,FALSE)</f>
        <v>0</v>
      </c>
      <c r="P264" t="b">
        <f>OR(ISNUMBER(MATCH(Checklist[[#This Row],[Type]], $B$3:$B$22, 0)), Checklist[[#This Row],[Type]] = "*")</f>
        <v>0</v>
      </c>
    </row>
    <row r="265" spans="4:16" x14ac:dyDescent="0.2">
      <c r="D265" t="s">
        <v>8</v>
      </c>
      <c r="E265" t="s">
        <v>224</v>
      </c>
      <c r="F265" t="s">
        <v>624</v>
      </c>
      <c r="G265" t="s">
        <v>445</v>
      </c>
      <c r="H265" t="s">
        <v>446</v>
      </c>
      <c r="I265" t="s">
        <v>13</v>
      </c>
      <c r="J265" t="s">
        <v>14</v>
      </c>
      <c r="O265" t="b">
        <f>IF(COUNTIFS($F$2:F265, F265, $P$2:P265, TRUE)&gt;1,TRUE,FALSE)</f>
        <v>0</v>
      </c>
      <c r="P265" t="b">
        <f>OR(ISNUMBER(MATCH(Checklist[[#This Row],[Type]], $B$3:$B$22, 0)), Checklist[[#This Row],[Type]] = "*")</f>
        <v>0</v>
      </c>
    </row>
    <row r="266" spans="4:16" x14ac:dyDescent="0.2">
      <c r="D266" t="s">
        <v>8</v>
      </c>
      <c r="E266" t="s">
        <v>357</v>
      </c>
      <c r="F266" t="s">
        <v>404</v>
      </c>
      <c r="G266" t="s">
        <v>405</v>
      </c>
      <c r="H266" t="s">
        <v>406</v>
      </c>
      <c r="I266" t="s">
        <v>13</v>
      </c>
      <c r="J266" t="s">
        <v>14</v>
      </c>
      <c r="O266" t="b">
        <f>IF(COUNTIFS($F$2:F266, F266, $P$2:P266, TRUE)&gt;1,TRUE,FALSE)</f>
        <v>0</v>
      </c>
      <c r="P266" t="b">
        <f>OR(ISNUMBER(MATCH(Checklist[[#This Row],[Type]], $B$3:$B$22, 0)), Checklist[[#This Row],[Type]] = "*")</f>
        <v>0</v>
      </c>
    </row>
    <row r="267" spans="4:16" x14ac:dyDescent="0.2">
      <c r="D267" t="s">
        <v>8</v>
      </c>
      <c r="E267" t="s">
        <v>357</v>
      </c>
      <c r="F267" t="s">
        <v>407</v>
      </c>
      <c r="G267" t="s">
        <v>408</v>
      </c>
      <c r="H267" t="s">
        <v>409</v>
      </c>
      <c r="I267" t="s">
        <v>13</v>
      </c>
      <c r="J267" t="s">
        <v>14</v>
      </c>
      <c r="O267" t="b">
        <f>IF(COUNTIFS($F$2:F267, F267, $P$2:P267, TRUE)&gt;1,TRUE,FALSE)</f>
        <v>0</v>
      </c>
      <c r="P267" t="b">
        <f>OR(ISNUMBER(MATCH(Checklist[[#This Row],[Type]], $B$3:$B$22, 0)), Checklist[[#This Row],[Type]] = "*")</f>
        <v>0</v>
      </c>
    </row>
    <row r="268" spans="4:16" x14ac:dyDescent="0.2">
      <c r="D268" t="s">
        <v>8</v>
      </c>
      <c r="E268" t="s">
        <v>357</v>
      </c>
      <c r="F268" t="s">
        <v>410</v>
      </c>
      <c r="G268" t="s">
        <v>411</v>
      </c>
      <c r="H268" t="s">
        <v>412</v>
      </c>
      <c r="I268" t="s">
        <v>13</v>
      </c>
      <c r="J268" t="s">
        <v>14</v>
      </c>
      <c r="O268" t="b">
        <f>IF(COUNTIFS($F$2:F268, F268, $P$2:P268, TRUE)&gt;1,TRUE,FALSE)</f>
        <v>0</v>
      </c>
      <c r="P268" t="b">
        <f>OR(ISNUMBER(MATCH(Checklist[[#This Row],[Type]], $B$3:$B$22, 0)), Checklist[[#This Row],[Type]] = "*")</f>
        <v>0</v>
      </c>
    </row>
    <row r="269" spans="4:16" x14ac:dyDescent="0.2">
      <c r="D269" t="s">
        <v>8</v>
      </c>
      <c r="E269" t="s">
        <v>357</v>
      </c>
      <c r="F269" t="s">
        <v>413</v>
      </c>
      <c r="G269" t="s">
        <v>414</v>
      </c>
      <c r="H269" t="s">
        <v>415</v>
      </c>
      <c r="I269" t="s">
        <v>13</v>
      </c>
      <c r="J269" t="s">
        <v>14</v>
      </c>
      <c r="O269" t="b">
        <f>IF(COUNTIFS($F$2:F269, F269, $P$2:P269, TRUE)&gt;1,TRUE,FALSE)</f>
        <v>0</v>
      </c>
      <c r="P269" t="b">
        <f>OR(ISNUMBER(MATCH(Checklist[[#This Row],[Type]], $B$3:$B$22, 0)), Checklist[[#This Row],[Type]] = "*")</f>
        <v>0</v>
      </c>
    </row>
    <row r="270" spans="4:16" x14ac:dyDescent="0.2">
      <c r="D270" t="s">
        <v>8</v>
      </c>
      <c r="E270" t="s">
        <v>357</v>
      </c>
      <c r="F270" t="s">
        <v>416</v>
      </c>
      <c r="G270" t="s">
        <v>417</v>
      </c>
      <c r="H270" t="s">
        <v>418</v>
      </c>
      <c r="I270" t="s">
        <v>13</v>
      </c>
      <c r="J270" t="s">
        <v>14</v>
      </c>
      <c r="O270" t="b">
        <f>IF(COUNTIFS($F$2:F270, F270, $P$2:P270, TRUE)&gt;1,TRUE,FALSE)</f>
        <v>0</v>
      </c>
      <c r="P270" t="b">
        <f>OR(ISNUMBER(MATCH(Checklist[[#This Row],[Type]], $B$3:$B$22, 0)), Checklist[[#This Row],[Type]] = "*")</f>
        <v>0</v>
      </c>
    </row>
    <row r="271" spans="4:16" x14ac:dyDescent="0.2">
      <c r="D271" t="s">
        <v>8</v>
      </c>
      <c r="E271" t="s">
        <v>357</v>
      </c>
      <c r="F271" t="s">
        <v>419</v>
      </c>
      <c r="G271" t="s">
        <v>420</v>
      </c>
      <c r="H271" t="s">
        <v>421</v>
      </c>
      <c r="I271" t="s">
        <v>13</v>
      </c>
      <c r="J271" t="s">
        <v>14</v>
      </c>
      <c r="O271" t="b">
        <f>IF(COUNTIFS($F$2:F271, F271, $P$2:P271, TRUE)&gt;1,TRUE,FALSE)</f>
        <v>0</v>
      </c>
      <c r="P271" t="b">
        <f>OR(ISNUMBER(MATCH(Checklist[[#This Row],[Type]], $B$3:$B$22, 0)), Checklist[[#This Row],[Type]] = "*")</f>
        <v>0</v>
      </c>
    </row>
    <row r="272" spans="4:16" x14ac:dyDescent="0.2">
      <c r="D272" t="s">
        <v>8</v>
      </c>
      <c r="E272" t="s">
        <v>357</v>
      </c>
      <c r="F272" t="s">
        <v>422</v>
      </c>
      <c r="G272" t="s">
        <v>423</v>
      </c>
      <c r="H272" t="s">
        <v>424</v>
      </c>
      <c r="I272" t="s">
        <v>13</v>
      </c>
      <c r="J272" t="s">
        <v>14</v>
      </c>
      <c r="O272" t="b">
        <f>IF(COUNTIFS($F$2:F272, F272, $P$2:P272, TRUE)&gt;1,TRUE,FALSE)</f>
        <v>0</v>
      </c>
      <c r="P272" t="b">
        <f>OR(ISNUMBER(MATCH(Checklist[[#This Row],[Type]], $B$3:$B$22, 0)), Checklist[[#This Row],[Type]] = "*")</f>
        <v>0</v>
      </c>
    </row>
    <row r="273" spans="4:16" x14ac:dyDescent="0.2">
      <c r="D273" t="s">
        <v>8</v>
      </c>
      <c r="E273" t="s">
        <v>357</v>
      </c>
      <c r="F273" t="s">
        <v>425</v>
      </c>
      <c r="G273" t="s">
        <v>204</v>
      </c>
      <c r="H273" t="s">
        <v>426</v>
      </c>
      <c r="I273" t="s">
        <v>13</v>
      </c>
      <c r="J273" t="s">
        <v>14</v>
      </c>
      <c r="O273" t="b">
        <f>IF(COUNTIFS($F$2:F273, F273, $P$2:P273, TRUE)&gt;1,TRUE,FALSE)</f>
        <v>0</v>
      </c>
      <c r="P273" t="b">
        <f>OR(ISNUMBER(MATCH(Checklist[[#This Row],[Type]], $B$3:$B$22, 0)), Checklist[[#This Row],[Type]] = "*")</f>
        <v>0</v>
      </c>
    </row>
    <row r="274" spans="4:16" x14ac:dyDescent="0.2">
      <c r="D274" t="s">
        <v>8</v>
      </c>
      <c r="E274" t="s">
        <v>357</v>
      </c>
      <c r="F274" t="s">
        <v>427</v>
      </c>
      <c r="G274" t="s">
        <v>133</v>
      </c>
      <c r="H274" t="s">
        <v>428</v>
      </c>
      <c r="I274" t="s">
        <v>13</v>
      </c>
      <c r="J274" t="s">
        <v>14</v>
      </c>
      <c r="O274" t="b">
        <f>IF(COUNTIFS($F$2:F274, F274, $P$2:P274, TRUE)&gt;1,TRUE,FALSE)</f>
        <v>0</v>
      </c>
      <c r="P274" t="b">
        <f>OR(ISNUMBER(MATCH(Checklist[[#This Row],[Type]], $B$3:$B$22, 0)), Checklist[[#This Row],[Type]] = "*")</f>
        <v>0</v>
      </c>
    </row>
    <row r="275" spans="4:16" x14ac:dyDescent="0.2">
      <c r="D275" t="s">
        <v>8</v>
      </c>
      <c r="E275" t="s">
        <v>357</v>
      </c>
      <c r="F275" t="s">
        <v>625</v>
      </c>
      <c r="G275" t="s">
        <v>626</v>
      </c>
      <c r="H275" t="s">
        <v>627</v>
      </c>
      <c r="I275" t="s">
        <v>13</v>
      </c>
      <c r="J275" t="s">
        <v>14</v>
      </c>
      <c r="O275" t="b">
        <f>IF(COUNTIFS($F$2:F275, F275, $P$2:P275, TRUE)&gt;1,TRUE,FALSE)</f>
        <v>0</v>
      </c>
      <c r="P275" t="b">
        <f>OR(ISNUMBER(MATCH(Checklist[[#This Row],[Type]], $B$3:$B$22, 0)), Checklist[[#This Row],[Type]] = "*")</f>
        <v>0</v>
      </c>
    </row>
    <row r="276" spans="4:16" x14ac:dyDescent="0.2">
      <c r="D276" t="s">
        <v>8</v>
      </c>
      <c r="E276" t="s">
        <v>874</v>
      </c>
      <c r="F276" t="s">
        <v>875</v>
      </c>
      <c r="G276" t="s">
        <v>628</v>
      </c>
      <c r="H276" t="s">
        <v>629</v>
      </c>
      <c r="I276" t="s">
        <v>13</v>
      </c>
      <c r="J276" t="s">
        <v>14</v>
      </c>
      <c r="O276" t="b">
        <f>IF(COUNTIFS($F$2:F276, F276, $P$2:P276, TRUE)&gt;1,TRUE,FALSE)</f>
        <v>0</v>
      </c>
      <c r="P276" t="b">
        <f>OR(ISNUMBER(MATCH(Checklist[[#This Row],[Type]], $B$3:$B$22, 0)), Checklist[[#This Row],[Type]] = "*")</f>
        <v>0</v>
      </c>
    </row>
    <row r="277" spans="4:16" x14ac:dyDescent="0.2">
      <c r="D277" t="s">
        <v>8</v>
      </c>
      <c r="E277" t="s">
        <v>874</v>
      </c>
      <c r="F277" t="s">
        <v>876</v>
      </c>
      <c r="G277" t="s">
        <v>877</v>
      </c>
      <c r="H277" t="s">
        <v>878</v>
      </c>
      <c r="I277" t="s">
        <v>13</v>
      </c>
      <c r="J277" t="s">
        <v>14</v>
      </c>
      <c r="O277" t="b">
        <f>IF(COUNTIFS($F$2:F277, F277, $P$2:P277, TRUE)&gt;1,TRUE,FALSE)</f>
        <v>0</v>
      </c>
      <c r="P277" t="b">
        <f>OR(ISNUMBER(MATCH(Checklist[[#This Row],[Type]], $B$3:$B$22, 0)), Checklist[[#This Row],[Type]] = "*")</f>
        <v>0</v>
      </c>
    </row>
    <row r="278" spans="4:16" x14ac:dyDescent="0.2">
      <c r="D278" t="s">
        <v>8</v>
      </c>
      <c r="E278" t="s">
        <v>874</v>
      </c>
      <c r="F278" t="s">
        <v>879</v>
      </c>
      <c r="G278" t="s">
        <v>880</v>
      </c>
      <c r="H278" t="s">
        <v>881</v>
      </c>
      <c r="I278" t="s">
        <v>13</v>
      </c>
      <c r="J278" t="s">
        <v>14</v>
      </c>
      <c r="O278" t="b">
        <f>IF(COUNTIFS($F$2:F278, F278, $P$2:P278, TRUE)&gt;1,TRUE,FALSE)</f>
        <v>0</v>
      </c>
      <c r="P278" t="b">
        <f>OR(ISNUMBER(MATCH(Checklist[[#This Row],[Type]], $B$3:$B$22, 0)), Checklist[[#This Row],[Type]] = "*")</f>
        <v>0</v>
      </c>
    </row>
    <row r="279" spans="4:16" x14ac:dyDescent="0.2">
      <c r="D279" t="s">
        <v>8</v>
      </c>
      <c r="E279" t="s">
        <v>874</v>
      </c>
      <c r="F279" t="s">
        <v>882</v>
      </c>
      <c r="G279" t="s">
        <v>883</v>
      </c>
      <c r="H279" t="s">
        <v>884</v>
      </c>
      <c r="I279" t="s">
        <v>13</v>
      </c>
      <c r="J279" t="s">
        <v>14</v>
      </c>
      <c r="O279" t="b">
        <f>IF(COUNTIFS($F$2:F279, F279, $P$2:P279, TRUE)&gt;1,TRUE,FALSE)</f>
        <v>0</v>
      </c>
      <c r="P279" t="b">
        <f>OR(ISNUMBER(MATCH(Checklist[[#This Row],[Type]], $B$3:$B$22, 0)), Checklist[[#This Row],[Type]] = "*")</f>
        <v>0</v>
      </c>
    </row>
    <row r="280" spans="4:16" x14ac:dyDescent="0.2">
      <c r="D280" t="s">
        <v>8</v>
      </c>
      <c r="E280" t="s">
        <v>874</v>
      </c>
      <c r="F280" t="s">
        <v>885</v>
      </c>
      <c r="G280" t="s">
        <v>886</v>
      </c>
      <c r="H280" t="s">
        <v>887</v>
      </c>
      <c r="I280" t="s">
        <v>13</v>
      </c>
      <c r="J280" t="s">
        <v>14</v>
      </c>
      <c r="O280" t="b">
        <f>IF(COUNTIFS($F$2:F280, F280, $P$2:P280, TRUE)&gt;1,TRUE,FALSE)</f>
        <v>0</v>
      </c>
      <c r="P280" t="b">
        <f>OR(ISNUMBER(MATCH(Checklist[[#This Row],[Type]], $B$3:$B$22, 0)), Checklist[[#This Row],[Type]] = "*")</f>
        <v>0</v>
      </c>
    </row>
    <row r="281" spans="4:16" x14ac:dyDescent="0.2">
      <c r="D281" t="s">
        <v>8</v>
      </c>
      <c r="E281" t="s">
        <v>874</v>
      </c>
      <c r="F281" t="s">
        <v>888</v>
      </c>
      <c r="G281" t="s">
        <v>889</v>
      </c>
      <c r="H281" t="s">
        <v>890</v>
      </c>
      <c r="I281" t="s">
        <v>13</v>
      </c>
      <c r="J281" t="s">
        <v>14</v>
      </c>
      <c r="O281" t="b">
        <f>IF(COUNTIFS($F$2:F281, F281, $P$2:P281, TRUE)&gt;1,TRUE,FALSE)</f>
        <v>0</v>
      </c>
      <c r="P281" t="b">
        <f>OR(ISNUMBER(MATCH(Checklist[[#This Row],[Type]], $B$3:$B$22, 0)), Checklist[[#This Row],[Type]] = "*")</f>
        <v>0</v>
      </c>
    </row>
    <row r="282" spans="4:16" x14ac:dyDescent="0.2">
      <c r="D282" t="s">
        <v>8</v>
      </c>
      <c r="E282" t="s">
        <v>874</v>
      </c>
      <c r="F282" t="s">
        <v>891</v>
      </c>
      <c r="G282" t="s">
        <v>892</v>
      </c>
      <c r="H282" t="s">
        <v>893</v>
      </c>
      <c r="I282" t="s">
        <v>13</v>
      </c>
      <c r="J282" t="s">
        <v>14</v>
      </c>
      <c r="O282" t="b">
        <f>IF(COUNTIFS($F$2:F282, F282, $P$2:P282, TRUE)&gt;1,TRUE,FALSE)</f>
        <v>0</v>
      </c>
      <c r="P282" t="b">
        <f>OR(ISNUMBER(MATCH(Checklist[[#This Row],[Type]], $B$3:$B$22, 0)), Checklist[[#This Row],[Type]] = "*")</f>
        <v>0</v>
      </c>
    </row>
    <row r="283" spans="4:16" x14ac:dyDescent="0.2">
      <c r="D283" t="s">
        <v>8</v>
      </c>
      <c r="E283" t="s">
        <v>874</v>
      </c>
      <c r="F283" t="s">
        <v>894</v>
      </c>
      <c r="G283" t="s">
        <v>895</v>
      </c>
      <c r="H283" t="s">
        <v>896</v>
      </c>
      <c r="I283" t="s">
        <v>13</v>
      </c>
      <c r="J283" t="s">
        <v>14</v>
      </c>
      <c r="O283" t="b">
        <f>IF(COUNTIFS($F$2:F283, F283, $P$2:P283, TRUE)&gt;1,TRUE,FALSE)</f>
        <v>0</v>
      </c>
      <c r="P283" t="b">
        <f>OR(ISNUMBER(MATCH(Checklist[[#This Row],[Type]], $B$3:$B$22, 0)), Checklist[[#This Row],[Type]] = "*")</f>
        <v>0</v>
      </c>
    </row>
    <row r="284" spans="4:16" x14ac:dyDescent="0.2">
      <c r="D284" t="s">
        <v>8</v>
      </c>
      <c r="E284" t="s">
        <v>897</v>
      </c>
      <c r="F284" t="s">
        <v>875</v>
      </c>
      <c r="G284" t="s">
        <v>628</v>
      </c>
      <c r="H284" t="s">
        <v>629</v>
      </c>
      <c r="I284" t="s">
        <v>13</v>
      </c>
      <c r="J284" t="s">
        <v>14</v>
      </c>
      <c r="O284" t="b">
        <f>IF(COUNTIFS($F$2:F284, F284, $P$2:P284, TRUE)&gt;1,TRUE,FALSE)</f>
        <v>0</v>
      </c>
      <c r="P284" t="b">
        <f>OR(ISNUMBER(MATCH(Checklist[[#This Row],[Type]], $B$3:$B$22, 0)), Checklist[[#This Row],[Type]] = "*")</f>
        <v>0</v>
      </c>
    </row>
    <row r="285" spans="4:16" x14ac:dyDescent="0.2">
      <c r="D285" t="s">
        <v>8</v>
      </c>
      <c r="E285" t="s">
        <v>897</v>
      </c>
      <c r="F285" t="s">
        <v>876</v>
      </c>
      <c r="G285" t="s">
        <v>877</v>
      </c>
      <c r="H285" t="s">
        <v>878</v>
      </c>
      <c r="I285" t="s">
        <v>13</v>
      </c>
      <c r="J285" t="s">
        <v>14</v>
      </c>
      <c r="O285" t="b">
        <f>IF(COUNTIFS($F$2:F285, F285, $P$2:P285, TRUE)&gt;1,TRUE,FALSE)</f>
        <v>0</v>
      </c>
      <c r="P285" t="b">
        <f>OR(ISNUMBER(MATCH(Checklist[[#This Row],[Type]], $B$3:$B$22, 0)), Checklist[[#This Row],[Type]] = "*")</f>
        <v>0</v>
      </c>
    </row>
    <row r="286" spans="4:16" x14ac:dyDescent="0.2">
      <c r="D286" t="s">
        <v>8</v>
      </c>
      <c r="E286" t="s">
        <v>897</v>
      </c>
      <c r="F286" t="s">
        <v>879</v>
      </c>
      <c r="G286" t="s">
        <v>880</v>
      </c>
      <c r="H286" t="s">
        <v>881</v>
      </c>
      <c r="I286" t="s">
        <v>13</v>
      </c>
      <c r="J286" t="s">
        <v>14</v>
      </c>
      <c r="O286" t="b">
        <f>IF(COUNTIFS($F$2:F286, F286, $P$2:P286, TRUE)&gt;1,TRUE,FALSE)</f>
        <v>0</v>
      </c>
      <c r="P286" t="b">
        <f>OR(ISNUMBER(MATCH(Checklist[[#This Row],[Type]], $B$3:$B$22, 0)), Checklist[[#This Row],[Type]] = "*")</f>
        <v>0</v>
      </c>
    </row>
    <row r="287" spans="4:16" x14ac:dyDescent="0.2">
      <c r="D287" t="s">
        <v>8</v>
      </c>
      <c r="E287" t="s">
        <v>897</v>
      </c>
      <c r="F287" t="s">
        <v>882</v>
      </c>
      <c r="G287" t="s">
        <v>883</v>
      </c>
      <c r="H287" t="s">
        <v>884</v>
      </c>
      <c r="I287" t="s">
        <v>13</v>
      </c>
      <c r="J287" t="s">
        <v>14</v>
      </c>
      <c r="O287" t="b">
        <f>IF(COUNTIFS($F$2:F287, F287, $P$2:P287, TRUE)&gt;1,TRUE,FALSE)</f>
        <v>0</v>
      </c>
      <c r="P287" t="b">
        <f>OR(ISNUMBER(MATCH(Checklist[[#This Row],[Type]], $B$3:$B$22, 0)), Checklist[[#This Row],[Type]] = "*")</f>
        <v>0</v>
      </c>
    </row>
    <row r="288" spans="4:16" x14ac:dyDescent="0.2">
      <c r="D288" t="s">
        <v>8</v>
      </c>
      <c r="E288" t="s">
        <v>897</v>
      </c>
      <c r="F288" t="s">
        <v>898</v>
      </c>
      <c r="G288" t="s">
        <v>899</v>
      </c>
      <c r="H288" t="s">
        <v>900</v>
      </c>
      <c r="I288" t="s">
        <v>13</v>
      </c>
      <c r="J288" t="s">
        <v>14</v>
      </c>
      <c r="O288" t="b">
        <f>IF(COUNTIFS($F$2:F288, F288, $P$2:P288, TRUE)&gt;1,TRUE,FALSE)</f>
        <v>0</v>
      </c>
      <c r="P288" t="b">
        <f>OR(ISNUMBER(MATCH(Checklist[[#This Row],[Type]], $B$3:$B$22, 0)), Checklist[[#This Row],[Type]] = "*")</f>
        <v>0</v>
      </c>
    </row>
    <row r="289" spans="4:16" x14ac:dyDescent="0.2">
      <c r="D289" t="s">
        <v>8</v>
      </c>
      <c r="E289" t="s">
        <v>897</v>
      </c>
      <c r="F289" t="s">
        <v>901</v>
      </c>
      <c r="G289" t="s">
        <v>902</v>
      </c>
      <c r="H289" t="s">
        <v>903</v>
      </c>
      <c r="I289" t="s">
        <v>13</v>
      </c>
      <c r="J289" t="s">
        <v>14</v>
      </c>
      <c r="O289" t="b">
        <f>IF(COUNTIFS($F$2:F289, F289, $P$2:P289, TRUE)&gt;1,TRUE,FALSE)</f>
        <v>0</v>
      </c>
      <c r="P289" t="b">
        <f>OR(ISNUMBER(MATCH(Checklist[[#This Row],[Type]], $B$3:$B$22, 0)), Checklist[[#This Row],[Type]] = "*")</f>
        <v>0</v>
      </c>
    </row>
    <row r="290" spans="4:16" x14ac:dyDescent="0.2">
      <c r="D290" t="s">
        <v>8</v>
      </c>
      <c r="E290" t="s">
        <v>904</v>
      </c>
      <c r="F290" t="s">
        <v>875</v>
      </c>
      <c r="G290" t="s">
        <v>628</v>
      </c>
      <c r="H290" t="s">
        <v>629</v>
      </c>
      <c r="I290" t="s">
        <v>13</v>
      </c>
      <c r="J290" t="s">
        <v>14</v>
      </c>
      <c r="O290" t="b">
        <f>IF(COUNTIFS($F$2:F290, F290, $P$2:P290, TRUE)&gt;1,TRUE,FALSE)</f>
        <v>0</v>
      </c>
      <c r="P290" t="b">
        <f>OR(ISNUMBER(MATCH(Checklist[[#This Row],[Type]], $B$3:$B$22, 0)), Checklist[[#This Row],[Type]] = "*")</f>
        <v>0</v>
      </c>
    </row>
    <row r="291" spans="4:16" x14ac:dyDescent="0.2">
      <c r="D291" t="s">
        <v>8</v>
      </c>
      <c r="E291" t="s">
        <v>904</v>
      </c>
      <c r="F291" t="s">
        <v>876</v>
      </c>
      <c r="G291" t="s">
        <v>877</v>
      </c>
      <c r="H291" t="s">
        <v>878</v>
      </c>
      <c r="I291" t="s">
        <v>13</v>
      </c>
      <c r="J291" t="s">
        <v>14</v>
      </c>
      <c r="O291" t="b">
        <f>IF(COUNTIFS($F$2:F291, F291, $P$2:P291, TRUE)&gt;1,TRUE,FALSE)</f>
        <v>0</v>
      </c>
      <c r="P291" t="b">
        <f>OR(ISNUMBER(MATCH(Checklist[[#This Row],[Type]], $B$3:$B$22, 0)), Checklist[[#This Row],[Type]] = "*")</f>
        <v>0</v>
      </c>
    </row>
    <row r="292" spans="4:16" x14ac:dyDescent="0.2">
      <c r="D292" t="s">
        <v>8</v>
      </c>
      <c r="E292" t="s">
        <v>904</v>
      </c>
      <c r="F292" t="s">
        <v>879</v>
      </c>
      <c r="G292" t="s">
        <v>880</v>
      </c>
      <c r="H292" t="s">
        <v>881</v>
      </c>
      <c r="I292" t="s">
        <v>13</v>
      </c>
      <c r="J292" t="s">
        <v>14</v>
      </c>
      <c r="O292" t="b">
        <f>IF(COUNTIFS($F$2:F292, F292, $P$2:P292, TRUE)&gt;1,TRUE,FALSE)</f>
        <v>0</v>
      </c>
      <c r="P292" t="b">
        <f>OR(ISNUMBER(MATCH(Checklist[[#This Row],[Type]], $B$3:$B$22, 0)), Checklist[[#This Row],[Type]] = "*")</f>
        <v>0</v>
      </c>
    </row>
    <row r="293" spans="4:16" x14ac:dyDescent="0.2">
      <c r="D293" t="s">
        <v>8</v>
      </c>
      <c r="E293" t="s">
        <v>904</v>
      </c>
      <c r="F293" t="s">
        <v>882</v>
      </c>
      <c r="G293" t="s">
        <v>883</v>
      </c>
      <c r="H293" t="s">
        <v>884</v>
      </c>
      <c r="I293" t="s">
        <v>13</v>
      </c>
      <c r="J293" t="s">
        <v>14</v>
      </c>
      <c r="O293" t="b">
        <f>IF(COUNTIFS($F$2:F293, F293, $P$2:P293, TRUE)&gt;1,TRUE,FALSE)</f>
        <v>0</v>
      </c>
      <c r="P293" t="b">
        <f>OR(ISNUMBER(MATCH(Checklist[[#This Row],[Type]], $B$3:$B$22, 0)), Checklist[[#This Row],[Type]] = "*")</f>
        <v>0</v>
      </c>
    </row>
    <row r="294" spans="4:16" x14ac:dyDescent="0.2">
      <c r="D294" t="s">
        <v>8</v>
      </c>
      <c r="E294" t="s">
        <v>904</v>
      </c>
      <c r="F294" t="s">
        <v>905</v>
      </c>
      <c r="G294" t="s">
        <v>906</v>
      </c>
      <c r="H294" t="s">
        <v>907</v>
      </c>
      <c r="I294" t="s">
        <v>13</v>
      </c>
      <c r="J294" t="s">
        <v>14</v>
      </c>
      <c r="O294" t="b">
        <f>IF(COUNTIFS($F$2:F294, F294, $P$2:P294, TRUE)&gt;1,TRUE,FALSE)</f>
        <v>0</v>
      </c>
      <c r="P294" t="b">
        <f>OR(ISNUMBER(MATCH(Checklist[[#This Row],[Type]], $B$3:$B$22, 0)), Checklist[[#This Row],[Type]] = "*")</f>
        <v>0</v>
      </c>
    </row>
    <row r="295" spans="4:16" x14ac:dyDescent="0.2">
      <c r="D295" t="s">
        <v>8</v>
      </c>
      <c r="E295" t="s">
        <v>904</v>
      </c>
      <c r="F295" t="s">
        <v>908</v>
      </c>
      <c r="G295" t="s">
        <v>909</v>
      </c>
      <c r="H295" t="s">
        <v>910</v>
      </c>
      <c r="I295" t="s">
        <v>13</v>
      </c>
      <c r="J295" t="s">
        <v>14</v>
      </c>
      <c r="O295" t="b">
        <f>IF(COUNTIFS($F$2:F295, F295, $P$2:P295, TRUE)&gt;1,TRUE,FALSE)</f>
        <v>0</v>
      </c>
      <c r="P295" t="b">
        <f>OR(ISNUMBER(MATCH(Checklist[[#This Row],[Type]], $B$3:$B$22, 0)), Checklist[[#This Row],[Type]] = "*")</f>
        <v>0</v>
      </c>
    </row>
    <row r="296" spans="4:16" x14ac:dyDescent="0.2">
      <c r="D296" t="s">
        <v>8</v>
      </c>
      <c r="E296" t="s">
        <v>904</v>
      </c>
      <c r="F296" t="s">
        <v>911</v>
      </c>
      <c r="G296" t="s">
        <v>912</v>
      </c>
      <c r="H296" t="s">
        <v>913</v>
      </c>
      <c r="I296" t="s">
        <v>13</v>
      </c>
      <c r="J296" t="s">
        <v>14</v>
      </c>
      <c r="O296" t="b">
        <f>IF(COUNTIFS($F$2:F296, F296, $P$2:P296, TRUE)&gt;1,TRUE,FALSE)</f>
        <v>0</v>
      </c>
      <c r="P296" t="b">
        <f>OR(ISNUMBER(MATCH(Checklist[[#This Row],[Type]], $B$3:$B$22, 0)), Checklist[[#This Row],[Type]] = "*")</f>
        <v>0</v>
      </c>
    </row>
    <row r="297" spans="4:16" x14ac:dyDescent="0.2">
      <c r="D297" t="s">
        <v>8</v>
      </c>
      <c r="E297" t="s">
        <v>904</v>
      </c>
      <c r="F297" t="s">
        <v>914</v>
      </c>
      <c r="G297" t="s">
        <v>915</v>
      </c>
      <c r="H297" t="s">
        <v>916</v>
      </c>
      <c r="I297" t="s">
        <v>13</v>
      </c>
      <c r="J297" t="s">
        <v>14</v>
      </c>
      <c r="O297" t="b">
        <f>IF(COUNTIFS($F$2:F297, F297, $P$2:P297, TRUE)&gt;1,TRUE,FALSE)</f>
        <v>0</v>
      </c>
      <c r="P297" t="b">
        <f>OR(ISNUMBER(MATCH(Checklist[[#This Row],[Type]], $B$3:$B$22, 0)), Checklist[[#This Row],[Type]] = "*")</f>
        <v>0</v>
      </c>
    </row>
    <row r="298" spans="4:16" x14ac:dyDescent="0.2">
      <c r="D298" t="s">
        <v>8</v>
      </c>
      <c r="E298" t="s">
        <v>904</v>
      </c>
      <c r="F298" t="s">
        <v>917</v>
      </c>
      <c r="G298" t="s">
        <v>902</v>
      </c>
      <c r="H298" t="s">
        <v>903</v>
      </c>
      <c r="I298" t="s">
        <v>13</v>
      </c>
      <c r="J298" t="s">
        <v>14</v>
      </c>
      <c r="O298" t="b">
        <f>IF(COUNTIFS($F$2:F298, F298, $P$2:P298, TRUE)&gt;1,TRUE,FALSE)</f>
        <v>0</v>
      </c>
      <c r="P298" t="b">
        <f>OR(ISNUMBER(MATCH(Checklist[[#This Row],[Type]], $B$3:$B$22, 0)), Checklist[[#This Row],[Type]] = "*")</f>
        <v>0</v>
      </c>
    </row>
    <row r="299" spans="4:16" x14ac:dyDescent="0.2">
      <c r="D299" t="s">
        <v>8</v>
      </c>
      <c r="E299" t="s">
        <v>904</v>
      </c>
      <c r="F299" t="s">
        <v>918</v>
      </c>
      <c r="G299" t="s">
        <v>919</v>
      </c>
      <c r="H299" t="s">
        <v>920</v>
      </c>
      <c r="I299" t="s">
        <v>13</v>
      </c>
      <c r="J299" t="s">
        <v>14</v>
      </c>
      <c r="O299" t="b">
        <f>IF(COUNTIFS($F$2:F299, F299, $P$2:P299, TRUE)&gt;1,TRUE,FALSE)</f>
        <v>0</v>
      </c>
      <c r="P299" t="b">
        <f>OR(ISNUMBER(MATCH(Checklist[[#This Row],[Type]], $B$3:$B$22, 0)), Checklist[[#This Row],[Type]] = "*")</f>
        <v>0</v>
      </c>
    </row>
    <row r="300" spans="4:16" x14ac:dyDescent="0.2">
      <c r="D300" t="s">
        <v>8</v>
      </c>
      <c r="E300" t="s">
        <v>904</v>
      </c>
      <c r="F300" t="s">
        <v>921</v>
      </c>
      <c r="G300" t="s">
        <v>922</v>
      </c>
      <c r="H300" t="s">
        <v>923</v>
      </c>
      <c r="I300" t="s">
        <v>13</v>
      </c>
      <c r="J300" t="s">
        <v>14</v>
      </c>
      <c r="O300" t="b">
        <f>IF(COUNTIFS($F$2:F300, F300, $P$2:P300, TRUE)&gt;1,TRUE,FALSE)</f>
        <v>0</v>
      </c>
      <c r="P300" t="b">
        <f>OR(ISNUMBER(MATCH(Checklist[[#This Row],[Type]], $B$3:$B$22, 0)), Checklist[[#This Row],[Type]] = "*")</f>
        <v>0</v>
      </c>
    </row>
    <row r="301" spans="4:16" x14ac:dyDescent="0.2">
      <c r="D301" t="s">
        <v>8</v>
      </c>
      <c r="E301" t="s">
        <v>924</v>
      </c>
      <c r="F301" t="s">
        <v>875</v>
      </c>
      <c r="G301" t="s">
        <v>628</v>
      </c>
      <c r="H301" t="s">
        <v>629</v>
      </c>
      <c r="I301" t="s">
        <v>13</v>
      </c>
      <c r="J301" t="s">
        <v>14</v>
      </c>
      <c r="O301" t="b">
        <f>IF(COUNTIFS($F$2:F301, F301, $P$2:P301, TRUE)&gt;1,TRUE,FALSE)</f>
        <v>0</v>
      </c>
      <c r="P301" t="b">
        <f>OR(ISNUMBER(MATCH(Checklist[[#This Row],[Type]], $B$3:$B$22, 0)), Checklist[[#This Row],[Type]] = "*")</f>
        <v>0</v>
      </c>
    </row>
    <row r="302" spans="4:16" x14ac:dyDescent="0.2">
      <c r="D302" t="s">
        <v>8</v>
      </c>
      <c r="E302" t="s">
        <v>924</v>
      </c>
      <c r="F302" t="s">
        <v>876</v>
      </c>
      <c r="G302" t="s">
        <v>877</v>
      </c>
      <c r="H302" t="s">
        <v>878</v>
      </c>
      <c r="I302" t="s">
        <v>13</v>
      </c>
      <c r="J302" t="s">
        <v>14</v>
      </c>
      <c r="O302" t="b">
        <f>IF(COUNTIFS($F$2:F302, F302, $P$2:P302, TRUE)&gt;1,TRUE,FALSE)</f>
        <v>0</v>
      </c>
      <c r="P302" t="b">
        <f>OR(ISNUMBER(MATCH(Checklist[[#This Row],[Type]], $B$3:$B$22, 0)), Checklist[[#This Row],[Type]] = "*")</f>
        <v>0</v>
      </c>
    </row>
    <row r="303" spans="4:16" x14ac:dyDescent="0.2">
      <c r="D303" t="s">
        <v>8</v>
      </c>
      <c r="E303" t="s">
        <v>105</v>
      </c>
      <c r="F303" t="s">
        <v>471</v>
      </c>
      <c r="G303" t="s">
        <v>472</v>
      </c>
      <c r="H303" t="s">
        <v>473</v>
      </c>
      <c r="I303" t="s">
        <v>13</v>
      </c>
      <c r="J303" t="s">
        <v>14</v>
      </c>
      <c r="O303" t="b">
        <f>IF(COUNTIFS($F$2:F303, F303, $P$2:P303, TRUE)&gt;1,TRUE,FALSE)</f>
        <v>0</v>
      </c>
      <c r="P303" t="b">
        <f>OR(ISNUMBER(MATCH(Checklist[[#This Row],[Type]], $B$3:$B$22, 0)), Checklist[[#This Row],[Type]] = "*")</f>
        <v>0</v>
      </c>
    </row>
    <row r="304" spans="4:16" x14ac:dyDescent="0.2">
      <c r="D304" t="s">
        <v>8</v>
      </c>
      <c r="E304" t="s">
        <v>105</v>
      </c>
      <c r="F304" t="s">
        <v>474</v>
      </c>
      <c r="G304" t="s">
        <v>475</v>
      </c>
      <c r="H304" t="s">
        <v>476</v>
      </c>
      <c r="I304" t="s">
        <v>13</v>
      </c>
      <c r="J304" t="s">
        <v>14</v>
      </c>
      <c r="O304" t="b">
        <f>IF(COUNTIFS($F$2:F304, F304, $P$2:P304, TRUE)&gt;1,TRUE,FALSE)</f>
        <v>0</v>
      </c>
      <c r="P304" t="b">
        <f>OR(ISNUMBER(MATCH(Checklist[[#This Row],[Type]], $B$3:$B$22, 0)), Checklist[[#This Row],[Type]] = "*")</f>
        <v>0</v>
      </c>
    </row>
    <row r="305" spans="4:16" x14ac:dyDescent="0.2">
      <c r="D305" t="s">
        <v>8</v>
      </c>
      <c r="E305" t="s">
        <v>105</v>
      </c>
      <c r="F305" t="s">
        <v>814</v>
      </c>
      <c r="G305" t="s">
        <v>815</v>
      </c>
      <c r="H305" t="s">
        <v>816</v>
      </c>
      <c r="I305" t="s">
        <v>13</v>
      </c>
      <c r="J305" t="s">
        <v>14</v>
      </c>
      <c r="O305" t="b">
        <f>IF(COUNTIFS($F$2:F305, F305, $P$2:P305, TRUE)&gt;1,TRUE,FALSE)</f>
        <v>0</v>
      </c>
      <c r="P305" t="b">
        <f>OR(ISNUMBER(MATCH(Checklist[[#This Row],[Type]], $B$3:$B$22, 0)), Checklist[[#This Row],[Type]] = "*")</f>
        <v>0</v>
      </c>
    </row>
    <row r="306" spans="4:16" x14ac:dyDescent="0.2">
      <c r="D306" t="s">
        <v>8</v>
      </c>
      <c r="E306" t="s">
        <v>105</v>
      </c>
      <c r="F306" t="s">
        <v>477</v>
      </c>
      <c r="G306" t="s">
        <v>478</v>
      </c>
      <c r="H306" t="s">
        <v>479</v>
      </c>
      <c r="I306" t="s">
        <v>13</v>
      </c>
      <c r="J306" t="s">
        <v>14</v>
      </c>
      <c r="O306" t="b">
        <f>IF(COUNTIFS($F$2:F306, F306, $P$2:P306, TRUE)&gt;1,TRUE,FALSE)</f>
        <v>0</v>
      </c>
      <c r="P306" t="b">
        <f>OR(ISNUMBER(MATCH(Checklist[[#This Row],[Type]], $B$3:$B$22, 0)), Checklist[[#This Row],[Type]] = "*")</f>
        <v>0</v>
      </c>
    </row>
    <row r="307" spans="4:16" x14ac:dyDescent="0.2">
      <c r="D307" t="s">
        <v>8</v>
      </c>
      <c r="E307" t="s">
        <v>105</v>
      </c>
      <c r="F307" t="s">
        <v>817</v>
      </c>
      <c r="G307" t="s">
        <v>423</v>
      </c>
      <c r="H307" t="s">
        <v>424</v>
      </c>
      <c r="I307" t="s">
        <v>13</v>
      </c>
      <c r="J307" t="s">
        <v>14</v>
      </c>
      <c r="O307" t="b">
        <f>IF(COUNTIFS($F$2:F307, F307, $P$2:P307, TRUE)&gt;1,TRUE,FALSE)</f>
        <v>0</v>
      </c>
      <c r="P307" t="b">
        <f>OR(ISNUMBER(MATCH(Checklist[[#This Row],[Type]], $B$3:$B$22, 0)), Checklist[[#This Row],[Type]] = "*")</f>
        <v>0</v>
      </c>
    </row>
    <row r="308" spans="4:16" x14ac:dyDescent="0.2">
      <c r="D308" t="s">
        <v>8</v>
      </c>
      <c r="E308" t="s">
        <v>107</v>
      </c>
      <c r="F308" t="s">
        <v>447</v>
      </c>
      <c r="G308" t="s">
        <v>448</v>
      </c>
      <c r="H308" t="s">
        <v>449</v>
      </c>
      <c r="I308" t="s">
        <v>13</v>
      </c>
      <c r="J308" t="s">
        <v>14</v>
      </c>
      <c r="O308" t="b">
        <f>IF(COUNTIFS($F$2:F308, F308, $P$2:P308, TRUE)&gt;1,TRUE,FALSE)</f>
        <v>0</v>
      </c>
      <c r="P308" t="b">
        <f>OR(ISNUMBER(MATCH(Checklist[[#This Row],[Type]], $B$3:$B$22, 0)), Checklist[[#This Row],[Type]] = "*")</f>
        <v>0</v>
      </c>
    </row>
    <row r="309" spans="4:16" x14ac:dyDescent="0.2">
      <c r="D309" t="s">
        <v>8</v>
      </c>
      <c r="E309" t="s">
        <v>107</v>
      </c>
      <c r="F309" t="s">
        <v>450</v>
      </c>
      <c r="G309" t="s">
        <v>451</v>
      </c>
      <c r="H309" t="s">
        <v>452</v>
      </c>
      <c r="I309" t="s">
        <v>13</v>
      </c>
      <c r="J309" t="s">
        <v>14</v>
      </c>
      <c r="O309" t="b">
        <f>IF(COUNTIFS($F$2:F309, F309, $P$2:P309, TRUE)&gt;1,TRUE,FALSE)</f>
        <v>0</v>
      </c>
      <c r="P309" t="b">
        <f>OR(ISNUMBER(MATCH(Checklist[[#This Row],[Type]], $B$3:$B$22, 0)), Checklist[[#This Row],[Type]] = "*")</f>
        <v>0</v>
      </c>
    </row>
    <row r="310" spans="4:16" x14ac:dyDescent="0.2">
      <c r="D310" t="s">
        <v>8</v>
      </c>
      <c r="E310" t="s">
        <v>107</v>
      </c>
      <c r="F310" t="s">
        <v>453</v>
      </c>
      <c r="G310" t="s">
        <v>454</v>
      </c>
      <c r="H310" t="s">
        <v>455</v>
      </c>
      <c r="I310" t="s">
        <v>13</v>
      </c>
      <c r="J310" t="s">
        <v>14</v>
      </c>
      <c r="O310" t="b">
        <f>IF(COUNTIFS($F$2:F310, F310, $P$2:P310, TRUE)&gt;1,TRUE,FALSE)</f>
        <v>0</v>
      </c>
      <c r="P310" t="b">
        <f>OR(ISNUMBER(MATCH(Checklist[[#This Row],[Type]], $B$3:$B$22, 0)), Checklist[[#This Row],[Type]] = "*")</f>
        <v>0</v>
      </c>
    </row>
    <row r="311" spans="4:16" x14ac:dyDescent="0.2">
      <c r="D311" t="s">
        <v>8</v>
      </c>
      <c r="E311" t="s">
        <v>107</v>
      </c>
      <c r="F311" t="s">
        <v>456</v>
      </c>
      <c r="G311" t="s">
        <v>457</v>
      </c>
      <c r="H311" t="s">
        <v>813</v>
      </c>
      <c r="I311" t="s">
        <v>13</v>
      </c>
      <c r="J311" t="s">
        <v>14</v>
      </c>
      <c r="O311" t="b">
        <f>IF(COUNTIFS($F$2:F311, F311, $P$2:P311, TRUE)&gt;1,TRUE,FALSE)</f>
        <v>0</v>
      </c>
      <c r="P311" t="b">
        <f>OR(ISNUMBER(MATCH(Checklist[[#This Row],[Type]], $B$3:$B$22, 0)), Checklist[[#This Row],[Type]] = "*")</f>
        <v>0</v>
      </c>
    </row>
    <row r="312" spans="4:16" x14ac:dyDescent="0.2">
      <c r="D312" t="s">
        <v>8</v>
      </c>
      <c r="E312" t="s">
        <v>107</v>
      </c>
      <c r="F312" t="s">
        <v>799</v>
      </c>
      <c r="G312" t="s">
        <v>800</v>
      </c>
      <c r="H312" t="s">
        <v>801</v>
      </c>
      <c r="I312" t="s">
        <v>13</v>
      </c>
      <c r="J312" t="s">
        <v>14</v>
      </c>
      <c r="O312" t="b">
        <f>IF(COUNTIFS($F$2:F312, F312, $P$2:P312, TRUE)&gt;1,TRUE,FALSE)</f>
        <v>0</v>
      </c>
      <c r="P312" t="b">
        <f>OR(ISNUMBER(MATCH(Checklist[[#This Row],[Type]], $B$3:$B$22, 0)), Checklist[[#This Row],[Type]] = "*")</f>
        <v>0</v>
      </c>
    </row>
    <row r="313" spans="4:16" x14ac:dyDescent="0.2">
      <c r="D313" t="s">
        <v>8</v>
      </c>
      <c r="E313" t="s">
        <v>107</v>
      </c>
      <c r="F313" t="s">
        <v>458</v>
      </c>
      <c r="G313" t="s">
        <v>56</v>
      </c>
      <c r="H313" t="s">
        <v>57</v>
      </c>
      <c r="I313" t="s">
        <v>13</v>
      </c>
      <c r="J313" t="s">
        <v>14</v>
      </c>
      <c r="O313" t="b">
        <f>IF(COUNTIFS($F$2:F313, F313, $P$2:P313, TRUE)&gt;1,TRUE,FALSE)</f>
        <v>0</v>
      </c>
      <c r="P313" t="b">
        <f>OR(ISNUMBER(MATCH(Checklist[[#This Row],[Type]], $B$3:$B$22, 0)), Checklist[[#This Row],[Type]] = "*")</f>
        <v>0</v>
      </c>
    </row>
    <row r="314" spans="4:16" x14ac:dyDescent="0.2">
      <c r="D314" t="s">
        <v>8</v>
      </c>
      <c r="E314" t="s">
        <v>107</v>
      </c>
      <c r="F314" t="s">
        <v>459</v>
      </c>
      <c r="G314" t="s">
        <v>460</v>
      </c>
      <c r="H314" t="s">
        <v>461</v>
      </c>
      <c r="I314" t="s">
        <v>13</v>
      </c>
      <c r="J314" t="s">
        <v>14</v>
      </c>
      <c r="O314" t="b">
        <f>IF(COUNTIFS($F$2:F314, F314, $P$2:P314, TRUE)&gt;1,TRUE,FALSE)</f>
        <v>0</v>
      </c>
      <c r="P314" t="b">
        <f>OR(ISNUMBER(MATCH(Checklist[[#This Row],[Type]], $B$3:$B$22, 0)), Checklist[[#This Row],[Type]] = "*")</f>
        <v>0</v>
      </c>
    </row>
    <row r="315" spans="4:16" x14ac:dyDescent="0.2">
      <c r="D315" t="s">
        <v>8</v>
      </c>
      <c r="E315" t="s">
        <v>107</v>
      </c>
      <c r="F315" t="s">
        <v>462</v>
      </c>
      <c r="G315" t="s">
        <v>423</v>
      </c>
      <c r="H315" t="s">
        <v>424</v>
      </c>
      <c r="I315" t="s">
        <v>13</v>
      </c>
      <c r="J315" t="s">
        <v>14</v>
      </c>
      <c r="O315" t="b">
        <f>IF(COUNTIFS($F$2:F315, F315, $P$2:P315, TRUE)&gt;1,TRUE,FALSE)</f>
        <v>0</v>
      </c>
      <c r="P315" t="b">
        <f>OR(ISNUMBER(MATCH(Checklist[[#This Row],[Type]], $B$3:$B$22, 0)), Checklist[[#This Row],[Type]] = "*")</f>
        <v>0</v>
      </c>
    </row>
    <row r="316" spans="4:16" x14ac:dyDescent="0.2">
      <c r="D316" t="s">
        <v>8</v>
      </c>
      <c r="E316" t="s">
        <v>107</v>
      </c>
      <c r="F316" t="s">
        <v>818</v>
      </c>
      <c r="G316" t="s">
        <v>819</v>
      </c>
      <c r="H316" t="s">
        <v>820</v>
      </c>
      <c r="I316" t="s">
        <v>13</v>
      </c>
      <c r="J316" t="s">
        <v>14</v>
      </c>
      <c r="O316" t="b">
        <f>IF(COUNTIFS($F$2:F316, F316, $P$2:P316, TRUE)&gt;1,TRUE,FALSE)</f>
        <v>0</v>
      </c>
      <c r="P316" t="b">
        <f>OR(ISNUMBER(MATCH(Checklist[[#This Row],[Type]], $B$3:$B$22, 0)), Checklist[[#This Row],[Type]] = "*")</f>
        <v>0</v>
      </c>
    </row>
    <row r="317" spans="4:16" x14ac:dyDescent="0.2">
      <c r="D317" t="s">
        <v>8</v>
      </c>
      <c r="E317" t="s">
        <v>107</v>
      </c>
      <c r="F317" t="s">
        <v>630</v>
      </c>
      <c r="G317" t="s">
        <v>106</v>
      </c>
      <c r="H317" t="s">
        <v>108</v>
      </c>
      <c r="I317" t="s">
        <v>13</v>
      </c>
      <c r="J317" t="s">
        <v>14</v>
      </c>
      <c r="O317" t="b">
        <f>IF(COUNTIFS($F$2:F317, F317, $P$2:P317, TRUE)&gt;1,TRUE,FALSE)</f>
        <v>0</v>
      </c>
      <c r="P317" t="b">
        <f>OR(ISNUMBER(MATCH(Checklist[[#This Row],[Type]], $B$3:$B$22, 0)), Checklist[[#This Row],[Type]] = "*")</f>
        <v>0</v>
      </c>
    </row>
    <row r="318" spans="4:16" x14ac:dyDescent="0.2">
      <c r="D318" t="s">
        <v>8</v>
      </c>
      <c r="E318" t="s">
        <v>107</v>
      </c>
      <c r="F318" t="s">
        <v>631</v>
      </c>
      <c r="G318" t="s">
        <v>188</v>
      </c>
      <c r="H318" t="s">
        <v>632</v>
      </c>
      <c r="I318" t="s">
        <v>13</v>
      </c>
      <c r="J318" t="s">
        <v>14</v>
      </c>
      <c r="O318" t="b">
        <f>IF(COUNTIFS($F$2:F318, F318, $P$2:P318, TRUE)&gt;1,TRUE,FALSE)</f>
        <v>0</v>
      </c>
      <c r="P318" t="b">
        <f>OR(ISNUMBER(MATCH(Checklist[[#This Row],[Type]], $B$3:$B$22, 0)), Checklist[[#This Row],[Type]] = "*")</f>
        <v>0</v>
      </c>
    </row>
    <row r="319" spans="4:16" x14ac:dyDescent="0.2">
      <c r="D319" t="s">
        <v>8</v>
      </c>
      <c r="E319" t="s">
        <v>107</v>
      </c>
      <c r="F319" t="s">
        <v>633</v>
      </c>
      <c r="G319" t="s">
        <v>634</v>
      </c>
      <c r="H319" t="s">
        <v>635</v>
      </c>
      <c r="I319" t="s">
        <v>13</v>
      </c>
      <c r="J319" t="s">
        <v>14</v>
      </c>
      <c r="O319" t="b">
        <f>IF(COUNTIFS($F$2:F319, F319, $P$2:P319, TRUE)&gt;1,TRUE,FALSE)</f>
        <v>0</v>
      </c>
      <c r="P319" t="b">
        <f>OR(ISNUMBER(MATCH(Checklist[[#This Row],[Type]], $B$3:$B$22, 0)), Checklist[[#This Row],[Type]] = "*")</f>
        <v>0</v>
      </c>
    </row>
    <row r="320" spans="4:16" x14ac:dyDescent="0.2">
      <c r="D320" t="s">
        <v>8</v>
      </c>
      <c r="E320" t="s">
        <v>107</v>
      </c>
      <c r="F320" t="s">
        <v>636</v>
      </c>
      <c r="G320" t="s">
        <v>637</v>
      </c>
      <c r="H320" t="s">
        <v>638</v>
      </c>
      <c r="I320" t="s">
        <v>13</v>
      </c>
      <c r="J320" t="s">
        <v>14</v>
      </c>
      <c r="O320" t="b">
        <f>IF(COUNTIFS($F$2:F320, F320, $P$2:P320, TRUE)&gt;1,TRUE,FALSE)</f>
        <v>0</v>
      </c>
      <c r="P320" t="b">
        <f>OR(ISNUMBER(MATCH(Checklist[[#This Row],[Type]], $B$3:$B$22, 0)), Checklist[[#This Row],[Type]] = "*")</f>
        <v>0</v>
      </c>
    </row>
    <row r="321" spans="4:16" x14ac:dyDescent="0.2">
      <c r="D321" t="s">
        <v>8</v>
      </c>
      <c r="E321" t="s">
        <v>107</v>
      </c>
      <c r="F321" t="s">
        <v>639</v>
      </c>
      <c r="G321" t="s">
        <v>640</v>
      </c>
      <c r="H321" t="s">
        <v>641</v>
      </c>
      <c r="I321" t="s">
        <v>13</v>
      </c>
      <c r="J321" t="s">
        <v>14</v>
      </c>
      <c r="O321" t="b">
        <f>IF(COUNTIFS($F$2:F321, F321, $P$2:P321, TRUE)&gt;1,TRUE,FALSE)</f>
        <v>0</v>
      </c>
      <c r="P321" t="b">
        <f>OR(ISNUMBER(MATCH(Checklist[[#This Row],[Type]], $B$3:$B$22, 0)), Checklist[[#This Row],[Type]] = "*")</f>
        <v>0</v>
      </c>
    </row>
    <row r="322" spans="4:16" x14ac:dyDescent="0.2">
      <c r="D322" t="s">
        <v>8</v>
      </c>
      <c r="E322" t="s">
        <v>109</v>
      </c>
      <c r="F322" t="s">
        <v>471</v>
      </c>
      <c r="G322" t="s">
        <v>472</v>
      </c>
      <c r="H322" t="s">
        <v>473</v>
      </c>
      <c r="I322" t="s">
        <v>13</v>
      </c>
      <c r="J322" t="s">
        <v>14</v>
      </c>
      <c r="O322" t="b">
        <f>IF(COUNTIFS($F$2:F322, F322, $P$2:P322, TRUE)&gt;1,TRUE,FALSE)</f>
        <v>0</v>
      </c>
      <c r="P322" t="b">
        <f>OR(ISNUMBER(MATCH(Checklist[[#This Row],[Type]], $B$3:$B$22, 0)), Checklist[[#This Row],[Type]] = "*")</f>
        <v>0</v>
      </c>
    </row>
    <row r="323" spans="4:16" x14ac:dyDescent="0.2">
      <c r="D323" t="s">
        <v>8</v>
      </c>
      <c r="E323" t="s">
        <v>109</v>
      </c>
      <c r="F323" t="s">
        <v>474</v>
      </c>
      <c r="G323" t="s">
        <v>475</v>
      </c>
      <c r="H323" t="s">
        <v>476</v>
      </c>
      <c r="I323" t="s">
        <v>13</v>
      </c>
      <c r="J323" t="s">
        <v>14</v>
      </c>
      <c r="O323" t="b">
        <f>IF(COUNTIFS($F$2:F323, F323, $P$2:P323, TRUE)&gt;1,TRUE,FALSE)</f>
        <v>0</v>
      </c>
      <c r="P323" t="b">
        <f>OR(ISNUMBER(MATCH(Checklist[[#This Row],[Type]], $B$3:$B$22, 0)), Checklist[[#This Row],[Type]] = "*")</f>
        <v>0</v>
      </c>
    </row>
    <row r="324" spans="4:16" x14ac:dyDescent="0.2">
      <c r="D324" t="s">
        <v>8</v>
      </c>
      <c r="E324" t="s">
        <v>109</v>
      </c>
      <c r="F324" t="s">
        <v>477</v>
      </c>
      <c r="G324" t="s">
        <v>478</v>
      </c>
      <c r="H324" t="s">
        <v>479</v>
      </c>
      <c r="I324" t="s">
        <v>13</v>
      </c>
      <c r="J324" t="s">
        <v>14</v>
      </c>
      <c r="O324" t="b">
        <f>IF(COUNTIFS($F$2:F324, F324, $P$2:P324, TRUE)&gt;1,TRUE,FALSE)</f>
        <v>0</v>
      </c>
      <c r="P324" t="b">
        <f>OR(ISNUMBER(MATCH(Checklist[[#This Row],[Type]], $B$3:$B$22, 0)), Checklist[[#This Row],[Type]] = "*")</f>
        <v>0</v>
      </c>
    </row>
    <row r="325" spans="4:16" x14ac:dyDescent="0.2">
      <c r="D325" t="s">
        <v>8</v>
      </c>
      <c r="E325" t="s">
        <v>109</v>
      </c>
      <c r="F325" t="s">
        <v>817</v>
      </c>
      <c r="G325" t="s">
        <v>423</v>
      </c>
      <c r="H325" t="s">
        <v>424</v>
      </c>
      <c r="I325" t="s">
        <v>13</v>
      </c>
      <c r="J325" t="s">
        <v>14</v>
      </c>
      <c r="O325" t="b">
        <f>IF(COUNTIFS($F$2:F325, F325, $P$2:P325, TRUE)&gt;1,TRUE,FALSE)</f>
        <v>0</v>
      </c>
      <c r="P325" t="b">
        <f>OR(ISNUMBER(MATCH(Checklist[[#This Row],[Type]], $B$3:$B$22, 0)), Checklist[[#This Row],[Type]] = "*")</f>
        <v>0</v>
      </c>
    </row>
    <row r="326" spans="4:16" x14ac:dyDescent="0.2">
      <c r="D326" t="s">
        <v>8</v>
      </c>
      <c r="E326" t="s">
        <v>109</v>
      </c>
      <c r="F326" t="s">
        <v>642</v>
      </c>
      <c r="G326" t="s">
        <v>110</v>
      </c>
      <c r="H326" t="s">
        <v>111</v>
      </c>
      <c r="I326" t="s">
        <v>13</v>
      </c>
      <c r="J326" t="s">
        <v>14</v>
      </c>
      <c r="O326" t="b">
        <f>IF(COUNTIFS($F$2:F326, F326, $P$2:P326, TRUE)&gt;1,TRUE,FALSE)</f>
        <v>0</v>
      </c>
      <c r="P326" t="b">
        <f>OR(ISNUMBER(MATCH(Checklist[[#This Row],[Type]], $B$3:$B$22, 0)), Checklist[[#This Row],[Type]] = "*")</f>
        <v>0</v>
      </c>
    </row>
    <row r="327" spans="4:16" x14ac:dyDescent="0.2">
      <c r="D327" t="s">
        <v>8</v>
      </c>
      <c r="E327" t="s">
        <v>109</v>
      </c>
      <c r="F327" t="s">
        <v>643</v>
      </c>
      <c r="G327" t="s">
        <v>644</v>
      </c>
      <c r="H327" t="s">
        <v>645</v>
      </c>
      <c r="I327" t="s">
        <v>13</v>
      </c>
      <c r="J327" t="s">
        <v>14</v>
      </c>
      <c r="O327" t="b">
        <f>IF(COUNTIFS($F$2:F327, F327, $P$2:P327, TRUE)&gt;1,TRUE,FALSE)</f>
        <v>0</v>
      </c>
      <c r="P327" t="b">
        <f>OR(ISNUMBER(MATCH(Checklist[[#This Row],[Type]], $B$3:$B$22, 0)), Checklist[[#This Row],[Type]] = "*")</f>
        <v>0</v>
      </c>
    </row>
    <row r="328" spans="4:16" x14ac:dyDescent="0.2">
      <c r="D328" t="s">
        <v>8</v>
      </c>
      <c r="E328" t="s">
        <v>109</v>
      </c>
      <c r="F328" t="s">
        <v>807</v>
      </c>
      <c r="G328" t="s">
        <v>445</v>
      </c>
      <c r="H328" t="s">
        <v>446</v>
      </c>
      <c r="I328" t="s">
        <v>13</v>
      </c>
      <c r="J328" t="s">
        <v>14</v>
      </c>
      <c r="O328" t="b">
        <f>IF(COUNTIFS($F$2:F328, F328, $P$2:P328, TRUE)&gt;1,TRUE,FALSE)</f>
        <v>0</v>
      </c>
      <c r="P328" t="b">
        <f>OR(ISNUMBER(MATCH(Checklist[[#This Row],[Type]], $B$3:$B$22, 0)), Checklist[[#This Row],[Type]] = "*")</f>
        <v>0</v>
      </c>
    </row>
    <row r="329" spans="4:16" x14ac:dyDescent="0.2">
      <c r="D329" t="s">
        <v>8</v>
      </c>
      <c r="E329" t="s">
        <v>112</v>
      </c>
      <c r="F329" t="s">
        <v>529</v>
      </c>
      <c r="G329" t="s">
        <v>408</v>
      </c>
      <c r="H329" t="s">
        <v>409</v>
      </c>
      <c r="I329" t="s">
        <v>13</v>
      </c>
      <c r="J329" t="s">
        <v>14</v>
      </c>
      <c r="O329" t="b">
        <f>IF(COUNTIFS($F$2:F329, F329, $P$2:P329, TRUE)&gt;1,TRUE,FALSE)</f>
        <v>0</v>
      </c>
      <c r="P329" t="b">
        <f>OR(ISNUMBER(MATCH(Checklist[[#This Row],[Type]], $B$3:$B$22, 0)), Checklist[[#This Row],[Type]] = "*")</f>
        <v>0</v>
      </c>
    </row>
    <row r="330" spans="4:16" x14ac:dyDescent="0.2">
      <c r="D330" t="s">
        <v>8</v>
      </c>
      <c r="E330" t="s">
        <v>112</v>
      </c>
      <c r="F330" t="s">
        <v>530</v>
      </c>
      <c r="G330" t="s">
        <v>411</v>
      </c>
      <c r="H330" t="s">
        <v>412</v>
      </c>
      <c r="I330" t="s">
        <v>13</v>
      </c>
      <c r="J330" t="s">
        <v>14</v>
      </c>
      <c r="O330" t="b">
        <f>IF(COUNTIFS($F$2:F330, F330, $P$2:P330, TRUE)&gt;1,TRUE,FALSE)</f>
        <v>0</v>
      </c>
      <c r="P330" t="b">
        <f>OR(ISNUMBER(MATCH(Checklist[[#This Row],[Type]], $B$3:$B$22, 0)), Checklist[[#This Row],[Type]] = "*")</f>
        <v>0</v>
      </c>
    </row>
    <row r="331" spans="4:16" x14ac:dyDescent="0.2">
      <c r="D331" t="s">
        <v>8</v>
      </c>
      <c r="E331" t="s">
        <v>112</v>
      </c>
      <c r="F331" t="s">
        <v>646</v>
      </c>
      <c r="G331" t="s">
        <v>113</v>
      </c>
      <c r="H331" t="s">
        <v>114</v>
      </c>
      <c r="I331" t="s">
        <v>13</v>
      </c>
      <c r="J331" t="s">
        <v>14</v>
      </c>
      <c r="O331" t="b">
        <f>IF(COUNTIFS($F$2:F331, F331, $P$2:P331, TRUE)&gt;1,TRUE,FALSE)</f>
        <v>0</v>
      </c>
      <c r="P331" t="b">
        <f>OR(ISNUMBER(MATCH(Checklist[[#This Row],[Type]], $B$3:$B$22, 0)), Checklist[[#This Row],[Type]] = "*")</f>
        <v>0</v>
      </c>
    </row>
    <row r="332" spans="4:16" x14ac:dyDescent="0.2">
      <c r="D332" t="s">
        <v>8</v>
      </c>
      <c r="E332" t="s">
        <v>112</v>
      </c>
      <c r="F332" t="s">
        <v>647</v>
      </c>
      <c r="G332" t="s">
        <v>115</v>
      </c>
      <c r="H332" t="s">
        <v>116</v>
      </c>
      <c r="I332" t="s">
        <v>13</v>
      </c>
      <c r="J332" t="s">
        <v>14</v>
      </c>
      <c r="O332" t="b">
        <f>IF(COUNTIFS($F$2:F332, F332, $P$2:P332, TRUE)&gt;1,TRUE,FALSE)</f>
        <v>0</v>
      </c>
      <c r="P332" t="b">
        <f>OR(ISNUMBER(MATCH(Checklist[[#This Row],[Type]], $B$3:$B$22, 0)), Checklist[[#This Row],[Type]] = "*")</f>
        <v>0</v>
      </c>
    </row>
    <row r="333" spans="4:16" x14ac:dyDescent="0.2">
      <c r="D333" t="s">
        <v>8</v>
      </c>
      <c r="E333" t="s">
        <v>112</v>
      </c>
      <c r="F333" t="s">
        <v>648</v>
      </c>
      <c r="G333" t="s">
        <v>649</v>
      </c>
      <c r="H333" t="s">
        <v>650</v>
      </c>
      <c r="I333" t="s">
        <v>13</v>
      </c>
      <c r="J333" t="s">
        <v>14</v>
      </c>
      <c r="O333" t="b">
        <f>IF(COUNTIFS($F$2:F333, F333, $P$2:P333, TRUE)&gt;1,TRUE,FALSE)</f>
        <v>0</v>
      </c>
      <c r="P333" t="b">
        <f>OR(ISNUMBER(MATCH(Checklist[[#This Row],[Type]], $B$3:$B$22, 0)), Checklist[[#This Row],[Type]] = "*")</f>
        <v>0</v>
      </c>
    </row>
    <row r="334" spans="4:16" x14ac:dyDescent="0.2">
      <c r="D334" t="s">
        <v>8</v>
      </c>
      <c r="E334" t="s">
        <v>112</v>
      </c>
      <c r="F334" t="s">
        <v>651</v>
      </c>
      <c r="G334" t="s">
        <v>589</v>
      </c>
      <c r="H334" t="s">
        <v>652</v>
      </c>
      <c r="I334" t="s">
        <v>13</v>
      </c>
      <c r="J334" t="s">
        <v>14</v>
      </c>
      <c r="O334" t="b">
        <f>IF(COUNTIFS($F$2:F334, F334, $P$2:P334, TRUE)&gt;1,TRUE,FALSE)</f>
        <v>0</v>
      </c>
      <c r="P334" t="b">
        <f>OR(ISNUMBER(MATCH(Checklist[[#This Row],[Type]], $B$3:$B$22, 0)), Checklist[[#This Row],[Type]] = "*")</f>
        <v>0</v>
      </c>
    </row>
    <row r="335" spans="4:16" x14ac:dyDescent="0.2">
      <c r="D335" t="s">
        <v>8</v>
      </c>
      <c r="E335" t="s">
        <v>117</v>
      </c>
      <c r="F335" t="s">
        <v>568</v>
      </c>
      <c r="G335" t="s">
        <v>569</v>
      </c>
      <c r="H335" t="s">
        <v>570</v>
      </c>
      <c r="I335" t="s">
        <v>13</v>
      </c>
      <c r="J335" t="s">
        <v>14</v>
      </c>
      <c r="O335" t="b">
        <f>IF(COUNTIFS($F$2:F335, F335, $P$2:P335, TRUE)&gt;1,TRUE,FALSE)</f>
        <v>0</v>
      </c>
      <c r="P335" t="b">
        <f>OR(ISNUMBER(MATCH(Checklist[[#This Row],[Type]], $B$3:$B$22, 0)), Checklist[[#This Row],[Type]] = "*")</f>
        <v>0</v>
      </c>
    </row>
    <row r="336" spans="4:16" x14ac:dyDescent="0.2">
      <c r="D336" t="s">
        <v>8</v>
      </c>
      <c r="E336" t="s">
        <v>117</v>
      </c>
      <c r="F336" t="s">
        <v>571</v>
      </c>
      <c r="G336" t="s">
        <v>572</v>
      </c>
      <c r="H336" t="s">
        <v>573</v>
      </c>
      <c r="I336" t="s">
        <v>13</v>
      </c>
      <c r="J336" t="s">
        <v>14</v>
      </c>
      <c r="O336" t="b">
        <f>IF(COUNTIFS($F$2:F336, F336, $P$2:P336, TRUE)&gt;1,TRUE,FALSE)</f>
        <v>0</v>
      </c>
      <c r="P336" t="b">
        <f>OR(ISNUMBER(MATCH(Checklist[[#This Row],[Type]], $B$3:$B$22, 0)), Checklist[[#This Row],[Type]] = "*")</f>
        <v>0</v>
      </c>
    </row>
    <row r="337" spans="4:16" x14ac:dyDescent="0.2">
      <c r="D337" t="s">
        <v>8</v>
      </c>
      <c r="E337" t="s">
        <v>117</v>
      </c>
      <c r="F337" t="s">
        <v>653</v>
      </c>
      <c r="G337" t="s">
        <v>118</v>
      </c>
      <c r="H337" t="s">
        <v>119</v>
      </c>
      <c r="I337" t="s">
        <v>13</v>
      </c>
      <c r="J337" t="s">
        <v>14</v>
      </c>
      <c r="O337" t="b">
        <f>IF(COUNTIFS($F$2:F337, F337, $P$2:P337, TRUE)&gt;1,TRUE,FALSE)</f>
        <v>0</v>
      </c>
      <c r="P337" t="b">
        <f>OR(ISNUMBER(MATCH(Checklist[[#This Row],[Type]], $B$3:$B$22, 0)), Checklist[[#This Row],[Type]] = "*")</f>
        <v>0</v>
      </c>
    </row>
    <row r="338" spans="4:16" x14ac:dyDescent="0.2">
      <c r="D338" t="s">
        <v>8</v>
      </c>
      <c r="E338" t="s">
        <v>117</v>
      </c>
      <c r="F338" t="s">
        <v>654</v>
      </c>
      <c r="G338" t="s">
        <v>120</v>
      </c>
      <c r="H338" t="s">
        <v>121</v>
      </c>
      <c r="I338" t="s">
        <v>13</v>
      </c>
      <c r="J338" t="s">
        <v>14</v>
      </c>
      <c r="O338" t="b">
        <f>IF(COUNTIFS($F$2:F338, F338, $P$2:P338, TRUE)&gt;1,TRUE,FALSE)</f>
        <v>0</v>
      </c>
      <c r="P338" t="b">
        <f>OR(ISNUMBER(MATCH(Checklist[[#This Row],[Type]], $B$3:$B$22, 0)), Checklist[[#This Row],[Type]] = "*")</f>
        <v>0</v>
      </c>
    </row>
    <row r="339" spans="4:16" x14ac:dyDescent="0.2">
      <c r="D339" t="s">
        <v>8</v>
      </c>
      <c r="E339" t="s">
        <v>122</v>
      </c>
      <c r="F339" t="s">
        <v>655</v>
      </c>
      <c r="G339" t="s">
        <v>195</v>
      </c>
      <c r="H339" t="s">
        <v>656</v>
      </c>
      <c r="I339" t="s">
        <v>13</v>
      </c>
      <c r="J339" t="s">
        <v>14</v>
      </c>
      <c r="O339" t="b">
        <f>IF(COUNTIFS($F$2:F339, F339, $P$2:P339, TRUE)&gt;1,TRUE,FALSE)</f>
        <v>0</v>
      </c>
      <c r="P339" t="b">
        <f>OR(ISNUMBER(MATCH(Checklist[[#This Row],[Type]], $B$3:$B$22, 0)), Checklist[[#This Row],[Type]] = "*")</f>
        <v>0</v>
      </c>
    </row>
    <row r="340" spans="4:16" x14ac:dyDescent="0.2">
      <c r="D340" t="s">
        <v>8</v>
      </c>
      <c r="E340" t="s">
        <v>122</v>
      </c>
      <c r="F340" t="s">
        <v>657</v>
      </c>
      <c r="G340" t="s">
        <v>658</v>
      </c>
      <c r="H340" t="s">
        <v>659</v>
      </c>
      <c r="I340" t="s">
        <v>13</v>
      </c>
      <c r="J340" t="s">
        <v>14</v>
      </c>
      <c r="O340" t="b">
        <f>IF(COUNTIFS($F$2:F340, F340, $P$2:P340, TRUE)&gt;1,TRUE,FALSE)</f>
        <v>0</v>
      </c>
      <c r="P340" t="b">
        <f>OR(ISNUMBER(MATCH(Checklist[[#This Row],[Type]], $B$3:$B$22, 0)), Checklist[[#This Row],[Type]] = "*")</f>
        <v>0</v>
      </c>
    </row>
    <row r="341" spans="4:16" x14ac:dyDescent="0.2">
      <c r="D341" t="s">
        <v>8</v>
      </c>
      <c r="E341" t="s">
        <v>122</v>
      </c>
      <c r="F341" t="s">
        <v>660</v>
      </c>
      <c r="G341" t="s">
        <v>661</v>
      </c>
      <c r="H341" t="s">
        <v>662</v>
      </c>
      <c r="I341" t="s">
        <v>13</v>
      </c>
      <c r="J341" t="s">
        <v>14</v>
      </c>
      <c r="O341" t="b">
        <f>IF(COUNTIFS($F$2:F341, F341, $P$2:P341, TRUE)&gt;1,TRUE,FALSE)</f>
        <v>0</v>
      </c>
      <c r="P341" t="b">
        <f>OR(ISNUMBER(MATCH(Checklist[[#This Row],[Type]], $B$3:$B$22, 0)), Checklist[[#This Row],[Type]] = "*")</f>
        <v>0</v>
      </c>
    </row>
    <row r="342" spans="4:16" x14ac:dyDescent="0.2">
      <c r="D342" t="s">
        <v>8</v>
      </c>
      <c r="E342" t="s">
        <v>122</v>
      </c>
      <c r="F342" t="s">
        <v>663</v>
      </c>
      <c r="G342" t="s">
        <v>664</v>
      </c>
      <c r="H342" t="s">
        <v>665</v>
      </c>
      <c r="I342" t="s">
        <v>13</v>
      </c>
      <c r="J342" t="s">
        <v>14</v>
      </c>
      <c r="O342" t="b">
        <f>IF(COUNTIFS($F$2:F342, F342, $P$2:P342, TRUE)&gt;1,TRUE,FALSE)</f>
        <v>0</v>
      </c>
      <c r="P342" t="b">
        <f>OR(ISNUMBER(MATCH(Checklist[[#This Row],[Type]], $B$3:$B$22, 0)), Checklist[[#This Row],[Type]] = "*")</f>
        <v>0</v>
      </c>
    </row>
    <row r="343" spans="4:16" x14ac:dyDescent="0.2">
      <c r="D343" t="s">
        <v>8</v>
      </c>
      <c r="E343" t="s">
        <v>122</v>
      </c>
      <c r="F343" t="s">
        <v>666</v>
      </c>
      <c r="G343" t="s">
        <v>65</v>
      </c>
      <c r="H343" t="s">
        <v>123</v>
      </c>
      <c r="I343" t="s">
        <v>13</v>
      </c>
      <c r="J343" t="s">
        <v>14</v>
      </c>
      <c r="O343" t="b">
        <f>IF(COUNTIFS($F$2:F343, F343, $P$2:P343, TRUE)&gt;1,TRUE,FALSE)</f>
        <v>0</v>
      </c>
      <c r="P343" t="b">
        <f>OR(ISNUMBER(MATCH(Checklist[[#This Row],[Type]], $B$3:$B$22, 0)), Checklist[[#This Row],[Type]] = "*")</f>
        <v>0</v>
      </c>
    </row>
    <row r="344" spans="4:16" x14ac:dyDescent="0.2">
      <c r="D344" t="s">
        <v>8</v>
      </c>
      <c r="E344" t="s">
        <v>122</v>
      </c>
      <c r="F344" t="s">
        <v>667</v>
      </c>
      <c r="G344" t="s">
        <v>589</v>
      </c>
      <c r="H344" t="s">
        <v>668</v>
      </c>
      <c r="I344" t="s">
        <v>13</v>
      </c>
      <c r="J344" t="s">
        <v>14</v>
      </c>
      <c r="O344" t="b">
        <f>IF(COUNTIFS($F$2:F344, F344, $P$2:P344, TRUE)&gt;1,TRUE,FALSE)</f>
        <v>0</v>
      </c>
      <c r="P344" t="b">
        <f>OR(ISNUMBER(MATCH(Checklist[[#This Row],[Type]], $B$3:$B$22, 0)), Checklist[[#This Row],[Type]] = "*")</f>
        <v>0</v>
      </c>
    </row>
    <row r="345" spans="4:16" x14ac:dyDescent="0.2">
      <c r="D345" t="s">
        <v>8</v>
      </c>
      <c r="E345" t="s">
        <v>122</v>
      </c>
      <c r="F345" t="s">
        <v>669</v>
      </c>
      <c r="G345" t="s">
        <v>96</v>
      </c>
      <c r="H345" t="s">
        <v>97</v>
      </c>
      <c r="I345" t="s">
        <v>13</v>
      </c>
      <c r="J345" t="s">
        <v>14</v>
      </c>
      <c r="O345" t="b">
        <f>IF(COUNTIFS($F$2:F345, F345, $P$2:P345, TRUE)&gt;1,TRUE,FALSE)</f>
        <v>0</v>
      </c>
      <c r="P345" t="b">
        <f>OR(ISNUMBER(MATCH(Checklist[[#This Row],[Type]], $B$3:$B$22, 0)), Checklist[[#This Row],[Type]] = "*")</f>
        <v>0</v>
      </c>
    </row>
    <row r="346" spans="4:16" x14ac:dyDescent="0.2">
      <c r="D346" t="s">
        <v>8</v>
      </c>
      <c r="E346" t="s">
        <v>124</v>
      </c>
      <c r="F346" t="s">
        <v>456</v>
      </c>
      <c r="G346" t="s">
        <v>457</v>
      </c>
      <c r="H346" t="s">
        <v>813</v>
      </c>
      <c r="I346" t="s">
        <v>13</v>
      </c>
      <c r="J346" t="s">
        <v>14</v>
      </c>
      <c r="O346" t="b">
        <f>IF(COUNTIFS($F$2:F346, F346, $P$2:P346, TRUE)&gt;1,TRUE,FALSE)</f>
        <v>0</v>
      </c>
      <c r="P346" t="b">
        <f>OR(ISNUMBER(MATCH(Checklist[[#This Row],[Type]], $B$3:$B$22, 0)), Checklist[[#This Row],[Type]] = "*")</f>
        <v>0</v>
      </c>
    </row>
    <row r="347" spans="4:16" x14ac:dyDescent="0.2">
      <c r="D347" t="s">
        <v>8</v>
      </c>
      <c r="E347" t="s">
        <v>124</v>
      </c>
      <c r="F347" t="s">
        <v>799</v>
      </c>
      <c r="G347" t="s">
        <v>800</v>
      </c>
      <c r="H347" t="s">
        <v>801</v>
      </c>
      <c r="I347" t="s">
        <v>13</v>
      </c>
      <c r="J347" t="s">
        <v>14</v>
      </c>
      <c r="O347" t="b">
        <f>IF(COUNTIFS($F$2:F347, F347, $P$2:P347, TRUE)&gt;1,TRUE,FALSE)</f>
        <v>0</v>
      </c>
      <c r="P347" t="b">
        <f>OR(ISNUMBER(MATCH(Checklist[[#This Row],[Type]], $B$3:$B$22, 0)), Checklist[[#This Row],[Type]] = "*")</f>
        <v>0</v>
      </c>
    </row>
    <row r="348" spans="4:16" x14ac:dyDescent="0.2">
      <c r="D348" t="s">
        <v>8</v>
      </c>
      <c r="E348" t="s">
        <v>124</v>
      </c>
      <c r="F348" t="s">
        <v>462</v>
      </c>
      <c r="G348" t="s">
        <v>423</v>
      </c>
      <c r="H348" t="s">
        <v>424</v>
      </c>
      <c r="I348" t="s">
        <v>13</v>
      </c>
      <c r="J348" t="s">
        <v>14</v>
      </c>
      <c r="O348" t="b">
        <f>IF(COUNTIFS($F$2:F348, F348, $P$2:P348, TRUE)&gt;1,TRUE,FALSE)</f>
        <v>0</v>
      </c>
      <c r="P348" t="b">
        <f>OR(ISNUMBER(MATCH(Checklist[[#This Row],[Type]], $B$3:$B$22, 0)), Checklist[[#This Row],[Type]] = "*")</f>
        <v>0</v>
      </c>
    </row>
    <row r="349" spans="4:16" x14ac:dyDescent="0.2">
      <c r="D349" t="s">
        <v>8</v>
      </c>
      <c r="E349" t="s">
        <v>124</v>
      </c>
      <c r="F349" t="s">
        <v>670</v>
      </c>
      <c r="G349" t="s">
        <v>125</v>
      </c>
      <c r="H349" t="s">
        <v>126</v>
      </c>
      <c r="I349" t="s">
        <v>13</v>
      </c>
      <c r="J349" t="s">
        <v>14</v>
      </c>
      <c r="O349" t="b">
        <f>IF(COUNTIFS($F$2:F349, F349, $P$2:P349, TRUE)&gt;1,TRUE,FALSE)</f>
        <v>0</v>
      </c>
      <c r="P349" t="b">
        <f>OR(ISNUMBER(MATCH(Checklist[[#This Row],[Type]], $B$3:$B$22, 0)), Checklist[[#This Row],[Type]] = "*")</f>
        <v>0</v>
      </c>
    </row>
    <row r="350" spans="4:16" x14ac:dyDescent="0.2">
      <c r="D350" t="s">
        <v>8</v>
      </c>
      <c r="E350" t="s">
        <v>127</v>
      </c>
      <c r="F350" t="s">
        <v>404</v>
      </c>
      <c r="G350" t="s">
        <v>405</v>
      </c>
      <c r="H350" t="s">
        <v>406</v>
      </c>
      <c r="I350" t="s">
        <v>13</v>
      </c>
      <c r="J350" t="s">
        <v>14</v>
      </c>
      <c r="O350" t="b">
        <f>IF(COUNTIFS($F$2:F350, F350, $P$2:P350, TRUE)&gt;1,TRUE,FALSE)</f>
        <v>0</v>
      </c>
      <c r="P350" t="b">
        <f>OR(ISNUMBER(MATCH(Checklist[[#This Row],[Type]], $B$3:$B$22, 0)), Checklist[[#This Row],[Type]] = "*")</f>
        <v>0</v>
      </c>
    </row>
    <row r="351" spans="4:16" x14ac:dyDescent="0.2">
      <c r="D351" t="s">
        <v>8</v>
      </c>
      <c r="E351" t="s">
        <v>127</v>
      </c>
      <c r="F351" t="s">
        <v>407</v>
      </c>
      <c r="G351" t="s">
        <v>408</v>
      </c>
      <c r="H351" t="s">
        <v>409</v>
      </c>
      <c r="I351" t="s">
        <v>13</v>
      </c>
      <c r="J351" t="s">
        <v>14</v>
      </c>
      <c r="O351" t="b">
        <f>IF(COUNTIFS($F$2:F351, F351, $P$2:P351, TRUE)&gt;1,TRUE,FALSE)</f>
        <v>0</v>
      </c>
      <c r="P351" t="b">
        <f>OR(ISNUMBER(MATCH(Checklist[[#This Row],[Type]], $B$3:$B$22, 0)), Checklist[[#This Row],[Type]] = "*")</f>
        <v>0</v>
      </c>
    </row>
    <row r="352" spans="4:16" x14ac:dyDescent="0.2">
      <c r="D352" t="s">
        <v>8</v>
      </c>
      <c r="E352" t="s">
        <v>127</v>
      </c>
      <c r="F352" t="s">
        <v>410</v>
      </c>
      <c r="G352" t="s">
        <v>411</v>
      </c>
      <c r="H352" t="s">
        <v>412</v>
      </c>
      <c r="I352" t="s">
        <v>13</v>
      </c>
      <c r="J352" t="s">
        <v>14</v>
      </c>
      <c r="O352" t="b">
        <f>IF(COUNTIFS($F$2:F352, F352, $P$2:P352, TRUE)&gt;1,TRUE,FALSE)</f>
        <v>0</v>
      </c>
      <c r="P352" t="b">
        <f>OR(ISNUMBER(MATCH(Checklist[[#This Row],[Type]], $B$3:$B$22, 0)), Checklist[[#This Row],[Type]] = "*")</f>
        <v>0</v>
      </c>
    </row>
    <row r="353" spans="4:16" x14ac:dyDescent="0.2">
      <c r="D353" t="s">
        <v>8</v>
      </c>
      <c r="E353" t="s">
        <v>127</v>
      </c>
      <c r="F353" t="s">
        <v>413</v>
      </c>
      <c r="G353" t="s">
        <v>414</v>
      </c>
      <c r="H353" t="s">
        <v>415</v>
      </c>
      <c r="I353" t="s">
        <v>13</v>
      </c>
      <c r="J353" t="s">
        <v>14</v>
      </c>
      <c r="O353" t="b">
        <f>IF(COUNTIFS($F$2:F353, F353, $P$2:P353, TRUE)&gt;1,TRUE,FALSE)</f>
        <v>0</v>
      </c>
      <c r="P353" t="b">
        <f>OR(ISNUMBER(MATCH(Checklist[[#This Row],[Type]], $B$3:$B$22, 0)), Checklist[[#This Row],[Type]] = "*")</f>
        <v>0</v>
      </c>
    </row>
    <row r="354" spans="4:16" x14ac:dyDescent="0.2">
      <c r="D354" t="s">
        <v>8</v>
      </c>
      <c r="E354" t="s">
        <v>127</v>
      </c>
      <c r="F354" t="s">
        <v>416</v>
      </c>
      <c r="G354" t="s">
        <v>417</v>
      </c>
      <c r="H354" t="s">
        <v>418</v>
      </c>
      <c r="I354" t="s">
        <v>13</v>
      </c>
      <c r="J354" t="s">
        <v>14</v>
      </c>
      <c r="O354" t="b">
        <f>IF(COUNTIFS($F$2:F354, F354, $P$2:P354, TRUE)&gt;1,TRUE,FALSE)</f>
        <v>0</v>
      </c>
      <c r="P354" t="b">
        <f>OR(ISNUMBER(MATCH(Checklist[[#This Row],[Type]], $B$3:$B$22, 0)), Checklist[[#This Row],[Type]] = "*")</f>
        <v>0</v>
      </c>
    </row>
    <row r="355" spans="4:16" x14ac:dyDescent="0.2">
      <c r="D355" t="s">
        <v>8</v>
      </c>
      <c r="E355" t="s">
        <v>127</v>
      </c>
      <c r="F355" t="s">
        <v>419</v>
      </c>
      <c r="G355" t="s">
        <v>420</v>
      </c>
      <c r="H355" t="s">
        <v>421</v>
      </c>
      <c r="I355" t="s">
        <v>13</v>
      </c>
      <c r="J355" t="s">
        <v>14</v>
      </c>
      <c r="O355" t="b">
        <f>IF(COUNTIFS($F$2:F355, F355, $P$2:P355, TRUE)&gt;1,TRUE,FALSE)</f>
        <v>0</v>
      </c>
      <c r="P355" t="b">
        <f>OR(ISNUMBER(MATCH(Checklist[[#This Row],[Type]], $B$3:$B$22, 0)), Checklist[[#This Row],[Type]] = "*")</f>
        <v>0</v>
      </c>
    </row>
    <row r="356" spans="4:16" x14ac:dyDescent="0.2">
      <c r="D356" t="s">
        <v>8</v>
      </c>
      <c r="E356" t="s">
        <v>127</v>
      </c>
      <c r="F356" t="s">
        <v>422</v>
      </c>
      <c r="G356" t="s">
        <v>423</v>
      </c>
      <c r="H356" t="s">
        <v>424</v>
      </c>
      <c r="I356" t="s">
        <v>13</v>
      </c>
      <c r="J356" t="s">
        <v>14</v>
      </c>
      <c r="O356" t="b">
        <f>IF(COUNTIFS($F$2:F356, F356, $P$2:P356, TRUE)&gt;1,TRUE,FALSE)</f>
        <v>0</v>
      </c>
      <c r="P356" t="b">
        <f>OR(ISNUMBER(MATCH(Checklist[[#This Row],[Type]], $B$3:$B$22, 0)), Checklist[[#This Row],[Type]] = "*")</f>
        <v>0</v>
      </c>
    </row>
    <row r="357" spans="4:16" x14ac:dyDescent="0.2">
      <c r="D357" t="s">
        <v>8</v>
      </c>
      <c r="E357" t="s">
        <v>127</v>
      </c>
      <c r="F357" t="s">
        <v>427</v>
      </c>
      <c r="G357" t="s">
        <v>133</v>
      </c>
      <c r="H357" t="s">
        <v>428</v>
      </c>
      <c r="I357" t="s">
        <v>13</v>
      </c>
      <c r="J357" t="s">
        <v>14</v>
      </c>
      <c r="O357" t="b">
        <f>IF(COUNTIFS($F$2:F357, F357, $P$2:P357, TRUE)&gt;1,TRUE,FALSE)</f>
        <v>0</v>
      </c>
      <c r="P357" t="b">
        <f>OR(ISNUMBER(MATCH(Checklist[[#This Row],[Type]], $B$3:$B$22, 0)), Checklist[[#This Row],[Type]] = "*")</f>
        <v>0</v>
      </c>
    </row>
    <row r="358" spans="4:16" x14ac:dyDescent="0.2">
      <c r="D358" t="s">
        <v>8</v>
      </c>
      <c r="E358" t="s">
        <v>127</v>
      </c>
      <c r="F358" t="s">
        <v>671</v>
      </c>
      <c r="G358" t="s">
        <v>128</v>
      </c>
      <c r="H358" t="s">
        <v>129</v>
      </c>
      <c r="I358" t="s">
        <v>13</v>
      </c>
      <c r="J358" t="s">
        <v>14</v>
      </c>
      <c r="O358" t="b">
        <f>IF(COUNTIFS($F$2:F358, F358, $P$2:P358, TRUE)&gt;1,TRUE,FALSE)</f>
        <v>0</v>
      </c>
      <c r="P358" t="b">
        <f>OR(ISNUMBER(MATCH(Checklist[[#This Row],[Type]], $B$3:$B$22, 0)), Checklist[[#This Row],[Type]] = "*")</f>
        <v>0</v>
      </c>
    </row>
    <row r="359" spans="4:16" x14ac:dyDescent="0.2">
      <c r="D359" t="s">
        <v>8</v>
      </c>
      <c r="E359" t="s">
        <v>127</v>
      </c>
      <c r="F359" t="s">
        <v>672</v>
      </c>
      <c r="G359" t="s">
        <v>130</v>
      </c>
      <c r="H359" t="s">
        <v>131</v>
      </c>
      <c r="I359" t="s">
        <v>13</v>
      </c>
      <c r="J359" t="s">
        <v>14</v>
      </c>
      <c r="O359" t="b">
        <f>IF(COUNTIFS($F$2:F359, F359, $P$2:P359, TRUE)&gt;1,TRUE,FALSE)</f>
        <v>0</v>
      </c>
      <c r="P359" t="b">
        <f>OR(ISNUMBER(MATCH(Checklist[[#This Row],[Type]], $B$3:$B$22, 0)), Checklist[[#This Row],[Type]] = "*")</f>
        <v>0</v>
      </c>
    </row>
    <row r="360" spans="4:16" x14ac:dyDescent="0.2">
      <c r="D360" t="s">
        <v>8</v>
      </c>
      <c r="E360" t="s">
        <v>127</v>
      </c>
      <c r="F360" t="s">
        <v>673</v>
      </c>
      <c r="G360" t="s">
        <v>56</v>
      </c>
      <c r="H360" t="s">
        <v>57</v>
      </c>
      <c r="I360" t="s">
        <v>13</v>
      </c>
      <c r="J360" t="s">
        <v>14</v>
      </c>
      <c r="O360" t="b">
        <f>IF(COUNTIFS($F$2:F360, F360, $P$2:P360, TRUE)&gt;1,TRUE,FALSE)</f>
        <v>0</v>
      </c>
      <c r="P360" t="b">
        <f>OR(ISNUMBER(MATCH(Checklist[[#This Row],[Type]], $B$3:$B$22, 0)), Checklist[[#This Row],[Type]] = "*")</f>
        <v>0</v>
      </c>
    </row>
    <row r="361" spans="4:16" x14ac:dyDescent="0.2">
      <c r="D361" t="s">
        <v>8</v>
      </c>
      <c r="E361" t="s">
        <v>127</v>
      </c>
      <c r="F361" t="s">
        <v>808</v>
      </c>
      <c r="G361" t="s">
        <v>603</v>
      </c>
      <c r="H361" t="s">
        <v>809</v>
      </c>
      <c r="I361" t="s">
        <v>13</v>
      </c>
      <c r="J361" t="s">
        <v>14</v>
      </c>
      <c r="O361" t="b">
        <f>IF(COUNTIFS($F$2:F361, F361, $P$2:P361, TRUE)&gt;1,TRUE,FALSE)</f>
        <v>0</v>
      </c>
      <c r="P361" t="b">
        <f>OR(ISNUMBER(MATCH(Checklist[[#This Row],[Type]], $B$3:$B$22, 0)), Checklist[[#This Row],[Type]] = "*")</f>
        <v>0</v>
      </c>
    </row>
    <row r="362" spans="4:16" x14ac:dyDescent="0.2">
      <c r="D362" t="s">
        <v>8</v>
      </c>
      <c r="E362" t="s">
        <v>354</v>
      </c>
      <c r="F362" t="s">
        <v>674</v>
      </c>
      <c r="G362" t="s">
        <v>170</v>
      </c>
      <c r="H362" t="s">
        <v>675</v>
      </c>
      <c r="I362" t="s">
        <v>13</v>
      </c>
      <c r="J362" t="s">
        <v>14</v>
      </c>
      <c r="O362" t="b">
        <f>IF(COUNTIFS($F$2:F362, F362, $P$2:P362, TRUE)&gt;1,TRUE,FALSE)</f>
        <v>0</v>
      </c>
      <c r="P362" t="b">
        <f>OR(ISNUMBER(MATCH(Checklist[[#This Row],[Type]], $B$3:$B$22, 0)), Checklist[[#This Row],[Type]] = "*")</f>
        <v>0</v>
      </c>
    </row>
    <row r="363" spans="4:16" x14ac:dyDescent="0.2">
      <c r="D363" t="s">
        <v>8</v>
      </c>
      <c r="E363" t="s">
        <v>354</v>
      </c>
      <c r="F363" t="s">
        <v>676</v>
      </c>
      <c r="G363" t="s">
        <v>677</v>
      </c>
      <c r="H363" t="s">
        <v>678</v>
      </c>
      <c r="I363" t="s">
        <v>13</v>
      </c>
      <c r="J363" t="s">
        <v>14</v>
      </c>
      <c r="O363" t="b">
        <f>IF(COUNTIFS($F$2:F363, F363, $P$2:P363, TRUE)&gt;1,TRUE,FALSE)</f>
        <v>0</v>
      </c>
      <c r="P363" t="b">
        <f>OR(ISNUMBER(MATCH(Checklist[[#This Row],[Type]], $B$3:$B$22, 0)), Checklist[[#This Row],[Type]] = "*")</f>
        <v>0</v>
      </c>
    </row>
    <row r="364" spans="4:16" x14ac:dyDescent="0.2">
      <c r="D364" t="s">
        <v>8</v>
      </c>
      <c r="E364" t="s">
        <v>134</v>
      </c>
      <c r="F364" t="s">
        <v>447</v>
      </c>
      <c r="G364" t="s">
        <v>448</v>
      </c>
      <c r="H364" t="s">
        <v>449</v>
      </c>
      <c r="I364" t="s">
        <v>13</v>
      </c>
      <c r="J364" t="s">
        <v>14</v>
      </c>
      <c r="O364" t="b">
        <f>IF(COUNTIFS($F$2:F364, F364, $P$2:P364, TRUE)&gt;1,TRUE,FALSE)</f>
        <v>0</v>
      </c>
      <c r="P364" t="b">
        <f>OR(ISNUMBER(MATCH(Checklist[[#This Row],[Type]], $B$3:$B$22, 0)), Checklist[[#This Row],[Type]] = "*")</f>
        <v>0</v>
      </c>
    </row>
    <row r="365" spans="4:16" x14ac:dyDescent="0.2">
      <c r="D365" t="s">
        <v>8</v>
      </c>
      <c r="E365" t="s">
        <v>134</v>
      </c>
      <c r="F365" t="s">
        <v>450</v>
      </c>
      <c r="G365" t="s">
        <v>451</v>
      </c>
      <c r="H365" t="s">
        <v>452</v>
      </c>
      <c r="I365" t="s">
        <v>13</v>
      </c>
      <c r="J365" t="s">
        <v>14</v>
      </c>
      <c r="O365" t="b">
        <f>IF(COUNTIFS($F$2:F365, F365, $P$2:P365, TRUE)&gt;1,TRUE,FALSE)</f>
        <v>0</v>
      </c>
      <c r="P365" t="b">
        <f>OR(ISNUMBER(MATCH(Checklist[[#This Row],[Type]], $B$3:$B$22, 0)), Checklist[[#This Row],[Type]] = "*")</f>
        <v>0</v>
      </c>
    </row>
    <row r="366" spans="4:16" x14ac:dyDescent="0.2">
      <c r="D366" t="s">
        <v>8</v>
      </c>
      <c r="E366" t="s">
        <v>134</v>
      </c>
      <c r="F366" t="s">
        <v>453</v>
      </c>
      <c r="G366" t="s">
        <v>454</v>
      </c>
      <c r="H366" t="s">
        <v>455</v>
      </c>
      <c r="I366" t="s">
        <v>13</v>
      </c>
      <c r="J366" t="s">
        <v>14</v>
      </c>
      <c r="O366" t="b">
        <f>IF(COUNTIFS($F$2:F366, F366, $P$2:P366, TRUE)&gt;1,TRUE,FALSE)</f>
        <v>0</v>
      </c>
      <c r="P366" t="b">
        <f>OR(ISNUMBER(MATCH(Checklist[[#This Row],[Type]], $B$3:$B$22, 0)), Checklist[[#This Row],[Type]] = "*")</f>
        <v>0</v>
      </c>
    </row>
    <row r="367" spans="4:16" x14ac:dyDescent="0.2">
      <c r="D367" t="s">
        <v>8</v>
      </c>
      <c r="E367" t="s">
        <v>134</v>
      </c>
      <c r="F367" t="s">
        <v>456</v>
      </c>
      <c r="G367" t="s">
        <v>457</v>
      </c>
      <c r="H367" t="s">
        <v>813</v>
      </c>
      <c r="I367" t="s">
        <v>13</v>
      </c>
      <c r="J367" t="s">
        <v>14</v>
      </c>
      <c r="O367" t="b">
        <f>IF(COUNTIFS($F$2:F367, F367, $P$2:P367, TRUE)&gt;1,TRUE,FALSE)</f>
        <v>0</v>
      </c>
      <c r="P367" t="b">
        <f>OR(ISNUMBER(MATCH(Checklist[[#This Row],[Type]], $B$3:$B$22, 0)), Checklist[[#This Row],[Type]] = "*")</f>
        <v>0</v>
      </c>
    </row>
    <row r="368" spans="4:16" x14ac:dyDescent="0.2">
      <c r="D368" t="s">
        <v>8</v>
      </c>
      <c r="E368" t="s">
        <v>134</v>
      </c>
      <c r="F368" t="s">
        <v>799</v>
      </c>
      <c r="G368" t="s">
        <v>800</v>
      </c>
      <c r="H368" t="s">
        <v>801</v>
      </c>
      <c r="I368" t="s">
        <v>13</v>
      </c>
      <c r="J368" t="s">
        <v>14</v>
      </c>
      <c r="O368" t="b">
        <f>IF(COUNTIFS($F$2:F368, F368, $P$2:P368, TRUE)&gt;1,TRUE,FALSE)</f>
        <v>0</v>
      </c>
      <c r="P368" t="b">
        <f>OR(ISNUMBER(MATCH(Checklist[[#This Row],[Type]], $B$3:$B$22, 0)), Checklist[[#This Row],[Type]] = "*")</f>
        <v>0</v>
      </c>
    </row>
    <row r="369" spans="4:16" x14ac:dyDescent="0.2">
      <c r="D369" t="s">
        <v>8</v>
      </c>
      <c r="E369" t="s">
        <v>134</v>
      </c>
      <c r="F369" t="s">
        <v>458</v>
      </c>
      <c r="G369" t="s">
        <v>56</v>
      </c>
      <c r="H369" t="s">
        <v>57</v>
      </c>
      <c r="I369" t="s">
        <v>13</v>
      </c>
      <c r="J369" t="s">
        <v>14</v>
      </c>
      <c r="O369" t="b">
        <f>IF(COUNTIFS($F$2:F369, F369, $P$2:P369, TRUE)&gt;1,TRUE,FALSE)</f>
        <v>0</v>
      </c>
      <c r="P369" t="b">
        <f>OR(ISNUMBER(MATCH(Checklist[[#This Row],[Type]], $B$3:$B$22, 0)), Checklist[[#This Row],[Type]] = "*")</f>
        <v>0</v>
      </c>
    </row>
    <row r="370" spans="4:16" x14ac:dyDescent="0.2">
      <c r="D370" t="s">
        <v>8</v>
      </c>
      <c r="E370" t="s">
        <v>134</v>
      </c>
      <c r="F370" t="s">
        <v>459</v>
      </c>
      <c r="G370" t="s">
        <v>460</v>
      </c>
      <c r="H370" t="s">
        <v>461</v>
      </c>
      <c r="I370" t="s">
        <v>13</v>
      </c>
      <c r="J370" t="s">
        <v>14</v>
      </c>
      <c r="O370" t="b">
        <f>IF(COUNTIFS($F$2:F370, F370, $P$2:P370, TRUE)&gt;1,TRUE,FALSE)</f>
        <v>0</v>
      </c>
      <c r="P370" t="b">
        <f>OR(ISNUMBER(MATCH(Checklist[[#This Row],[Type]], $B$3:$B$22, 0)), Checklist[[#This Row],[Type]] = "*")</f>
        <v>0</v>
      </c>
    </row>
    <row r="371" spans="4:16" x14ac:dyDescent="0.2">
      <c r="D371" t="s">
        <v>8</v>
      </c>
      <c r="E371" t="s">
        <v>134</v>
      </c>
      <c r="F371" t="s">
        <v>462</v>
      </c>
      <c r="G371" t="s">
        <v>423</v>
      </c>
      <c r="H371" t="s">
        <v>424</v>
      </c>
      <c r="I371" t="s">
        <v>13</v>
      </c>
      <c r="J371" t="s">
        <v>14</v>
      </c>
      <c r="O371" t="b">
        <f>IF(COUNTIFS($F$2:F371, F371, $P$2:P371, TRUE)&gt;1,TRUE,FALSE)</f>
        <v>0</v>
      </c>
      <c r="P371" t="b">
        <f>OR(ISNUMBER(MATCH(Checklist[[#This Row],[Type]], $B$3:$B$22, 0)), Checklist[[#This Row],[Type]] = "*")</f>
        <v>0</v>
      </c>
    </row>
    <row r="372" spans="4:16" x14ac:dyDescent="0.2">
      <c r="D372" t="s">
        <v>8</v>
      </c>
      <c r="E372" t="s">
        <v>134</v>
      </c>
      <c r="F372" t="s">
        <v>679</v>
      </c>
      <c r="G372" t="s">
        <v>65</v>
      </c>
      <c r="H372" t="s">
        <v>135</v>
      </c>
      <c r="I372" t="s">
        <v>13</v>
      </c>
      <c r="J372" t="s">
        <v>14</v>
      </c>
      <c r="O372" t="b">
        <f>IF(COUNTIFS($F$2:F372, F372, $P$2:P372, TRUE)&gt;1,TRUE,FALSE)</f>
        <v>0</v>
      </c>
      <c r="P372" t="b">
        <f>OR(ISNUMBER(MATCH(Checklist[[#This Row],[Type]], $B$3:$B$22, 0)), Checklist[[#This Row],[Type]] = "*")</f>
        <v>0</v>
      </c>
    </row>
    <row r="373" spans="4:16" x14ac:dyDescent="0.2">
      <c r="D373" t="s">
        <v>8</v>
      </c>
      <c r="E373" t="s">
        <v>136</v>
      </c>
      <c r="F373" t="s">
        <v>568</v>
      </c>
      <c r="G373" t="s">
        <v>569</v>
      </c>
      <c r="H373" t="s">
        <v>570</v>
      </c>
      <c r="I373" t="s">
        <v>13</v>
      </c>
      <c r="J373" t="s">
        <v>14</v>
      </c>
      <c r="O373" t="b">
        <f>IF(COUNTIFS($F$2:F373, F373, $P$2:P373, TRUE)&gt;1,TRUE,FALSE)</f>
        <v>0</v>
      </c>
      <c r="P373" t="b">
        <f>OR(ISNUMBER(MATCH(Checklist[[#This Row],[Type]], $B$3:$B$22, 0)), Checklist[[#This Row],[Type]] = "*")</f>
        <v>0</v>
      </c>
    </row>
    <row r="374" spans="4:16" x14ac:dyDescent="0.2">
      <c r="D374" t="s">
        <v>8</v>
      </c>
      <c r="E374" t="s">
        <v>136</v>
      </c>
      <c r="F374" t="s">
        <v>571</v>
      </c>
      <c r="G374" t="s">
        <v>572</v>
      </c>
      <c r="H374" t="s">
        <v>573</v>
      </c>
      <c r="I374" t="s">
        <v>13</v>
      </c>
      <c r="J374" t="s">
        <v>14</v>
      </c>
      <c r="O374" t="b">
        <f>IF(COUNTIFS($F$2:F374, F374, $P$2:P374, TRUE)&gt;1,TRUE,FALSE)</f>
        <v>0</v>
      </c>
      <c r="P374" t="b">
        <f>OR(ISNUMBER(MATCH(Checklist[[#This Row],[Type]], $B$3:$B$22, 0)), Checklist[[#This Row],[Type]] = "*")</f>
        <v>0</v>
      </c>
    </row>
    <row r="375" spans="4:16" x14ac:dyDescent="0.2">
      <c r="D375" t="s">
        <v>8</v>
      </c>
      <c r="E375" t="s">
        <v>136</v>
      </c>
      <c r="F375" t="s">
        <v>680</v>
      </c>
      <c r="G375" t="s">
        <v>137</v>
      </c>
      <c r="H375" t="s">
        <v>138</v>
      </c>
      <c r="I375" t="s">
        <v>13</v>
      </c>
      <c r="J375" t="s">
        <v>14</v>
      </c>
      <c r="O375" t="b">
        <f>IF(COUNTIFS($F$2:F375, F375, $P$2:P375, TRUE)&gt;1,TRUE,FALSE)</f>
        <v>0</v>
      </c>
      <c r="P375" t="b">
        <f>OR(ISNUMBER(MATCH(Checklist[[#This Row],[Type]], $B$3:$B$22, 0)), Checklist[[#This Row],[Type]] = "*")</f>
        <v>0</v>
      </c>
    </row>
    <row r="376" spans="4:16" x14ac:dyDescent="0.2">
      <c r="D376" t="s">
        <v>8</v>
      </c>
      <c r="E376" t="s">
        <v>136</v>
      </c>
      <c r="F376" t="s">
        <v>681</v>
      </c>
      <c r="G376" t="s">
        <v>139</v>
      </c>
      <c r="H376" t="s">
        <v>140</v>
      </c>
      <c r="I376" t="s">
        <v>13</v>
      </c>
      <c r="J376" t="s">
        <v>14</v>
      </c>
      <c r="O376" t="b">
        <f>IF(COUNTIFS($F$2:F376, F376, $P$2:P376, TRUE)&gt;1,TRUE,FALSE)</f>
        <v>0</v>
      </c>
      <c r="P376" t="b">
        <f>OR(ISNUMBER(MATCH(Checklist[[#This Row],[Type]], $B$3:$B$22, 0)), Checklist[[#This Row],[Type]] = "*")</f>
        <v>0</v>
      </c>
    </row>
    <row r="377" spans="4:16" x14ac:dyDescent="0.2">
      <c r="D377" t="s">
        <v>8</v>
      </c>
      <c r="E377" t="s">
        <v>136</v>
      </c>
      <c r="F377" t="s">
        <v>682</v>
      </c>
      <c r="G377" t="s">
        <v>189</v>
      </c>
      <c r="H377" t="s">
        <v>683</v>
      </c>
      <c r="I377" t="s">
        <v>13</v>
      </c>
      <c r="J377" t="s">
        <v>14</v>
      </c>
      <c r="O377" t="b">
        <f>IF(COUNTIFS($F$2:F377, F377, $P$2:P377, TRUE)&gt;1,TRUE,FALSE)</f>
        <v>0</v>
      </c>
      <c r="P377" t="b">
        <f>OR(ISNUMBER(MATCH(Checklist[[#This Row],[Type]], $B$3:$B$22, 0)), Checklist[[#This Row],[Type]] = "*")</f>
        <v>0</v>
      </c>
    </row>
    <row r="378" spans="4:16" x14ac:dyDescent="0.2">
      <c r="D378" t="s">
        <v>8</v>
      </c>
      <c r="E378" t="s">
        <v>136</v>
      </c>
      <c r="F378" t="s">
        <v>684</v>
      </c>
      <c r="G378" t="s">
        <v>546</v>
      </c>
      <c r="H378" t="s">
        <v>685</v>
      </c>
      <c r="I378" t="s">
        <v>13</v>
      </c>
      <c r="J378" t="s">
        <v>14</v>
      </c>
      <c r="O378" t="b">
        <f>IF(COUNTIFS($F$2:F378, F378, $P$2:P378, TRUE)&gt;1,TRUE,FALSE)</f>
        <v>0</v>
      </c>
      <c r="P378" t="b">
        <f>OR(ISNUMBER(MATCH(Checklist[[#This Row],[Type]], $B$3:$B$22, 0)), Checklist[[#This Row],[Type]] = "*")</f>
        <v>0</v>
      </c>
    </row>
    <row r="379" spans="4:16" x14ac:dyDescent="0.2">
      <c r="D379" t="s">
        <v>8</v>
      </c>
      <c r="E379" t="s">
        <v>834</v>
      </c>
      <c r="F379" t="s">
        <v>852</v>
      </c>
      <c r="G379" t="s">
        <v>411</v>
      </c>
      <c r="H379" t="s">
        <v>412</v>
      </c>
      <c r="I379" t="s">
        <v>13</v>
      </c>
      <c r="J379" t="s">
        <v>14</v>
      </c>
      <c r="O379" t="b">
        <f>IF(COUNTIFS($F$2:F379, F379, $P$2:P379, TRUE)&gt;1,TRUE,FALSE)</f>
        <v>0</v>
      </c>
      <c r="P379" t="b">
        <f>OR(ISNUMBER(MATCH(Checklist[[#This Row],[Type]], $B$3:$B$22, 0)), Checklist[[#This Row],[Type]] = "*")</f>
        <v>0</v>
      </c>
    </row>
    <row r="380" spans="4:16" x14ac:dyDescent="0.2">
      <c r="D380" t="s">
        <v>8</v>
      </c>
      <c r="E380" t="s">
        <v>834</v>
      </c>
      <c r="F380" t="s">
        <v>853</v>
      </c>
      <c r="G380" t="s">
        <v>414</v>
      </c>
      <c r="H380" t="s">
        <v>415</v>
      </c>
      <c r="I380" t="s">
        <v>13</v>
      </c>
      <c r="J380" t="s">
        <v>14</v>
      </c>
      <c r="O380" t="b">
        <f>IF(COUNTIFS($F$2:F380, F380, $P$2:P380, TRUE)&gt;1,TRUE,FALSE)</f>
        <v>0</v>
      </c>
      <c r="P380" t="b">
        <f>OR(ISNUMBER(MATCH(Checklist[[#This Row],[Type]], $B$3:$B$22, 0)), Checklist[[#This Row],[Type]] = "*")</f>
        <v>0</v>
      </c>
    </row>
    <row r="381" spans="4:16" x14ac:dyDescent="0.2">
      <c r="D381" t="s">
        <v>8</v>
      </c>
      <c r="E381" t="s">
        <v>834</v>
      </c>
      <c r="F381" t="s">
        <v>854</v>
      </c>
      <c r="G381" t="s">
        <v>439</v>
      </c>
      <c r="H381" t="s">
        <v>719</v>
      </c>
      <c r="I381" t="s">
        <v>13</v>
      </c>
      <c r="J381" t="s">
        <v>14</v>
      </c>
      <c r="O381" t="b">
        <f>IF(COUNTIFS($F$2:F381, F381, $P$2:P381, TRUE)&gt;1,TRUE,FALSE)</f>
        <v>0</v>
      </c>
      <c r="P381" t="b">
        <f>OR(ISNUMBER(MATCH(Checklist[[#This Row],[Type]], $B$3:$B$22, 0)), Checklist[[#This Row],[Type]] = "*")</f>
        <v>0</v>
      </c>
    </row>
    <row r="382" spans="4:16" x14ac:dyDescent="0.2">
      <c r="D382" t="s">
        <v>8</v>
      </c>
      <c r="E382" t="s">
        <v>834</v>
      </c>
      <c r="F382" t="s">
        <v>855</v>
      </c>
      <c r="G382" t="s">
        <v>837</v>
      </c>
      <c r="H382" t="s">
        <v>838</v>
      </c>
      <c r="I382" t="s">
        <v>13</v>
      </c>
      <c r="J382" t="s">
        <v>14</v>
      </c>
      <c r="O382" t="b">
        <f>IF(COUNTIFS($F$2:F382, F382, $P$2:P382, TRUE)&gt;1,TRUE,FALSE)</f>
        <v>0</v>
      </c>
      <c r="P382" t="b">
        <f>OR(ISNUMBER(MATCH(Checklist[[#This Row],[Type]], $B$3:$B$22, 0)), Checklist[[#This Row],[Type]] = "*")</f>
        <v>0</v>
      </c>
    </row>
    <row r="383" spans="4:16" x14ac:dyDescent="0.2">
      <c r="D383" t="s">
        <v>8</v>
      </c>
      <c r="E383" t="s">
        <v>141</v>
      </c>
      <c r="F383" t="s">
        <v>404</v>
      </c>
      <c r="G383" t="s">
        <v>405</v>
      </c>
      <c r="H383" t="s">
        <v>406</v>
      </c>
      <c r="I383" t="s">
        <v>13</v>
      </c>
      <c r="J383" t="s">
        <v>14</v>
      </c>
      <c r="O383" t="b">
        <f>IF(COUNTIFS($F$2:F383, F383, $P$2:P383, TRUE)&gt;1,TRUE,FALSE)</f>
        <v>0</v>
      </c>
      <c r="P383" t="b">
        <f>OR(ISNUMBER(MATCH(Checklist[[#This Row],[Type]], $B$3:$B$22, 0)), Checklist[[#This Row],[Type]] = "*")</f>
        <v>0</v>
      </c>
    </row>
    <row r="384" spans="4:16" x14ac:dyDescent="0.2">
      <c r="D384" t="s">
        <v>8</v>
      </c>
      <c r="E384" t="s">
        <v>141</v>
      </c>
      <c r="F384" t="s">
        <v>407</v>
      </c>
      <c r="G384" t="s">
        <v>408</v>
      </c>
      <c r="H384" t="s">
        <v>409</v>
      </c>
      <c r="I384" t="s">
        <v>13</v>
      </c>
      <c r="J384" t="s">
        <v>14</v>
      </c>
      <c r="O384" t="b">
        <f>IF(COUNTIFS($F$2:F384, F384, $P$2:P384, TRUE)&gt;1,TRUE,FALSE)</f>
        <v>0</v>
      </c>
      <c r="P384" t="b">
        <f>OR(ISNUMBER(MATCH(Checklist[[#This Row],[Type]], $B$3:$B$22, 0)), Checklist[[#This Row],[Type]] = "*")</f>
        <v>0</v>
      </c>
    </row>
    <row r="385" spans="4:16" x14ac:dyDescent="0.2">
      <c r="D385" t="s">
        <v>8</v>
      </c>
      <c r="E385" t="s">
        <v>141</v>
      </c>
      <c r="F385" t="s">
        <v>410</v>
      </c>
      <c r="G385" t="s">
        <v>411</v>
      </c>
      <c r="H385" t="s">
        <v>412</v>
      </c>
      <c r="I385" t="s">
        <v>13</v>
      </c>
      <c r="J385" t="s">
        <v>14</v>
      </c>
      <c r="O385" t="b">
        <f>IF(COUNTIFS($F$2:F385, F385, $P$2:P385, TRUE)&gt;1,TRUE,FALSE)</f>
        <v>0</v>
      </c>
      <c r="P385" t="b">
        <f>OR(ISNUMBER(MATCH(Checklist[[#This Row],[Type]], $B$3:$B$22, 0)), Checklist[[#This Row],[Type]] = "*")</f>
        <v>0</v>
      </c>
    </row>
    <row r="386" spans="4:16" x14ac:dyDescent="0.2">
      <c r="D386" t="s">
        <v>8</v>
      </c>
      <c r="E386" t="s">
        <v>141</v>
      </c>
      <c r="F386" t="s">
        <v>425</v>
      </c>
      <c r="G386" t="s">
        <v>204</v>
      </c>
      <c r="H386" t="s">
        <v>426</v>
      </c>
      <c r="I386" t="s">
        <v>13</v>
      </c>
      <c r="J386" t="s">
        <v>14</v>
      </c>
      <c r="O386" t="b">
        <f>IF(COUNTIFS($F$2:F386, F386, $P$2:P386, TRUE)&gt;1,TRUE,FALSE)</f>
        <v>0</v>
      </c>
      <c r="P386" t="b">
        <f>OR(ISNUMBER(MATCH(Checklist[[#This Row],[Type]], $B$3:$B$22, 0)), Checklist[[#This Row],[Type]] = "*")</f>
        <v>0</v>
      </c>
    </row>
    <row r="387" spans="4:16" x14ac:dyDescent="0.2">
      <c r="D387" t="s">
        <v>8</v>
      </c>
      <c r="E387" t="s">
        <v>141</v>
      </c>
      <c r="F387" t="s">
        <v>686</v>
      </c>
      <c r="G387" t="s">
        <v>142</v>
      </c>
      <c r="H387" t="s">
        <v>143</v>
      </c>
      <c r="I387" t="s">
        <v>13</v>
      </c>
      <c r="J387" t="s">
        <v>14</v>
      </c>
      <c r="O387" t="b">
        <f>IF(COUNTIFS($F$2:F387, F387, $P$2:P387, TRUE)&gt;1,TRUE,FALSE)</f>
        <v>0</v>
      </c>
      <c r="P387" t="b">
        <f>OR(ISNUMBER(MATCH(Checklist[[#This Row],[Type]], $B$3:$B$22, 0)), Checklist[[#This Row],[Type]] = "*")</f>
        <v>0</v>
      </c>
    </row>
    <row r="388" spans="4:16" x14ac:dyDescent="0.2">
      <c r="D388" t="s">
        <v>8</v>
      </c>
      <c r="E388" t="s">
        <v>141</v>
      </c>
      <c r="F388" t="s">
        <v>687</v>
      </c>
      <c r="G388" t="s">
        <v>144</v>
      </c>
      <c r="H388" t="s">
        <v>145</v>
      </c>
      <c r="I388" t="s">
        <v>13</v>
      </c>
      <c r="J388" t="s">
        <v>14</v>
      </c>
      <c r="O388" t="b">
        <f>IF(COUNTIFS($F$2:F388, F388, $P$2:P388, TRUE)&gt;1,TRUE,FALSE)</f>
        <v>0</v>
      </c>
      <c r="P388" t="b">
        <f>OR(ISNUMBER(MATCH(Checklist[[#This Row],[Type]], $B$3:$B$22, 0)), Checklist[[#This Row],[Type]] = "*")</f>
        <v>0</v>
      </c>
    </row>
    <row r="389" spans="4:16" x14ac:dyDescent="0.2">
      <c r="D389" t="s">
        <v>8</v>
      </c>
      <c r="E389" t="s">
        <v>146</v>
      </c>
      <c r="F389" t="s">
        <v>404</v>
      </c>
      <c r="G389" t="s">
        <v>405</v>
      </c>
      <c r="H389" t="s">
        <v>406</v>
      </c>
      <c r="I389" t="s">
        <v>13</v>
      </c>
      <c r="J389" t="s">
        <v>14</v>
      </c>
      <c r="O389" t="b">
        <f>IF(COUNTIFS($F$2:F389, F389, $P$2:P389, TRUE)&gt;1,TRUE,FALSE)</f>
        <v>0</v>
      </c>
      <c r="P389" t="b">
        <f>OR(ISNUMBER(MATCH(Checklist[[#This Row],[Type]], $B$3:$B$22, 0)), Checklist[[#This Row],[Type]] = "*")</f>
        <v>0</v>
      </c>
    </row>
    <row r="390" spans="4:16" x14ac:dyDescent="0.2">
      <c r="D390" t="s">
        <v>8</v>
      </c>
      <c r="E390" t="s">
        <v>146</v>
      </c>
      <c r="F390" t="s">
        <v>407</v>
      </c>
      <c r="G390" t="s">
        <v>408</v>
      </c>
      <c r="H390" t="s">
        <v>409</v>
      </c>
      <c r="I390" t="s">
        <v>13</v>
      </c>
      <c r="J390" t="s">
        <v>14</v>
      </c>
      <c r="O390" t="b">
        <f>IF(COUNTIFS($F$2:F390, F390, $P$2:P390, TRUE)&gt;1,TRUE,FALSE)</f>
        <v>0</v>
      </c>
      <c r="P390" t="b">
        <f>OR(ISNUMBER(MATCH(Checklist[[#This Row],[Type]], $B$3:$B$22, 0)), Checklist[[#This Row],[Type]] = "*")</f>
        <v>0</v>
      </c>
    </row>
    <row r="391" spans="4:16" x14ac:dyDescent="0.2">
      <c r="D391" t="s">
        <v>8</v>
      </c>
      <c r="E391" t="s">
        <v>146</v>
      </c>
      <c r="F391" t="s">
        <v>410</v>
      </c>
      <c r="G391" t="s">
        <v>411</v>
      </c>
      <c r="H391" t="s">
        <v>412</v>
      </c>
      <c r="I391" t="s">
        <v>13</v>
      </c>
      <c r="J391" t="s">
        <v>14</v>
      </c>
      <c r="O391" t="b">
        <f>IF(COUNTIFS($F$2:F391, F391, $P$2:P391, TRUE)&gt;1,TRUE,FALSE)</f>
        <v>0</v>
      </c>
      <c r="P391" t="b">
        <f>OR(ISNUMBER(MATCH(Checklist[[#This Row],[Type]], $B$3:$B$22, 0)), Checklist[[#This Row],[Type]] = "*")</f>
        <v>0</v>
      </c>
    </row>
    <row r="392" spans="4:16" x14ac:dyDescent="0.2">
      <c r="D392" t="s">
        <v>8</v>
      </c>
      <c r="E392" t="s">
        <v>146</v>
      </c>
      <c r="F392" t="s">
        <v>413</v>
      </c>
      <c r="G392" t="s">
        <v>414</v>
      </c>
      <c r="H392" t="s">
        <v>415</v>
      </c>
      <c r="I392" t="s">
        <v>13</v>
      </c>
      <c r="J392" t="s">
        <v>14</v>
      </c>
      <c r="O392" t="b">
        <f>IF(COUNTIFS($F$2:F392, F392, $P$2:P392, TRUE)&gt;1,TRUE,FALSE)</f>
        <v>0</v>
      </c>
      <c r="P392" t="b">
        <f>OR(ISNUMBER(MATCH(Checklist[[#This Row],[Type]], $B$3:$B$22, 0)), Checklist[[#This Row],[Type]] = "*")</f>
        <v>0</v>
      </c>
    </row>
    <row r="393" spans="4:16" x14ac:dyDescent="0.2">
      <c r="D393" t="s">
        <v>8</v>
      </c>
      <c r="E393" t="s">
        <v>146</v>
      </c>
      <c r="F393" t="s">
        <v>416</v>
      </c>
      <c r="G393" t="s">
        <v>417</v>
      </c>
      <c r="H393" t="s">
        <v>418</v>
      </c>
      <c r="I393" t="s">
        <v>13</v>
      </c>
      <c r="J393" t="s">
        <v>14</v>
      </c>
      <c r="O393" t="b">
        <f>IF(COUNTIFS($F$2:F393, F393, $P$2:P393, TRUE)&gt;1,TRUE,FALSE)</f>
        <v>0</v>
      </c>
      <c r="P393" t="b">
        <f>OR(ISNUMBER(MATCH(Checklist[[#This Row],[Type]], $B$3:$B$22, 0)), Checklist[[#This Row],[Type]] = "*")</f>
        <v>0</v>
      </c>
    </row>
    <row r="394" spans="4:16" x14ac:dyDescent="0.2">
      <c r="D394" t="s">
        <v>8</v>
      </c>
      <c r="E394" t="s">
        <v>146</v>
      </c>
      <c r="F394" t="s">
        <v>419</v>
      </c>
      <c r="G394" t="s">
        <v>420</v>
      </c>
      <c r="H394" t="s">
        <v>421</v>
      </c>
      <c r="I394" t="s">
        <v>13</v>
      </c>
      <c r="J394" t="s">
        <v>14</v>
      </c>
      <c r="O394" t="b">
        <f>IF(COUNTIFS($F$2:F394, F394, $P$2:P394, TRUE)&gt;1,TRUE,FALSE)</f>
        <v>0</v>
      </c>
      <c r="P394" t="b">
        <f>OR(ISNUMBER(MATCH(Checklist[[#This Row],[Type]], $B$3:$B$22, 0)), Checklist[[#This Row],[Type]] = "*")</f>
        <v>0</v>
      </c>
    </row>
    <row r="395" spans="4:16" x14ac:dyDescent="0.2">
      <c r="D395" t="s">
        <v>8</v>
      </c>
      <c r="E395" t="s">
        <v>146</v>
      </c>
      <c r="F395" t="s">
        <v>422</v>
      </c>
      <c r="G395" t="s">
        <v>423</v>
      </c>
      <c r="H395" t="s">
        <v>424</v>
      </c>
      <c r="I395" t="s">
        <v>13</v>
      </c>
      <c r="J395" t="s">
        <v>14</v>
      </c>
      <c r="O395" t="b">
        <f>IF(COUNTIFS($F$2:F395, F395, $P$2:P395, TRUE)&gt;1,TRUE,FALSE)</f>
        <v>0</v>
      </c>
      <c r="P395" t="b">
        <f>OR(ISNUMBER(MATCH(Checklist[[#This Row],[Type]], $B$3:$B$22, 0)), Checklist[[#This Row],[Type]] = "*")</f>
        <v>0</v>
      </c>
    </row>
    <row r="396" spans="4:16" x14ac:dyDescent="0.2">
      <c r="D396" t="s">
        <v>8</v>
      </c>
      <c r="E396" t="s">
        <v>146</v>
      </c>
      <c r="F396" t="s">
        <v>425</v>
      </c>
      <c r="G396" t="s">
        <v>204</v>
      </c>
      <c r="H396" t="s">
        <v>426</v>
      </c>
      <c r="I396" t="s">
        <v>13</v>
      </c>
      <c r="J396" t="s">
        <v>14</v>
      </c>
      <c r="O396" t="b">
        <f>IF(COUNTIFS($F$2:F396, F396, $P$2:P396, TRUE)&gt;1,TRUE,FALSE)</f>
        <v>0</v>
      </c>
      <c r="P396" t="b">
        <f>OR(ISNUMBER(MATCH(Checklist[[#This Row],[Type]], $B$3:$B$22, 0)), Checklist[[#This Row],[Type]] = "*")</f>
        <v>0</v>
      </c>
    </row>
    <row r="397" spans="4:16" x14ac:dyDescent="0.2">
      <c r="D397" t="s">
        <v>8</v>
      </c>
      <c r="E397" t="s">
        <v>146</v>
      </c>
      <c r="F397" t="s">
        <v>427</v>
      </c>
      <c r="G397" t="s">
        <v>133</v>
      </c>
      <c r="H397" t="s">
        <v>428</v>
      </c>
      <c r="I397" t="s">
        <v>13</v>
      </c>
      <c r="J397" t="s">
        <v>14</v>
      </c>
      <c r="O397" t="b">
        <f>IF(COUNTIFS($F$2:F397, F397, $P$2:P397, TRUE)&gt;1,TRUE,FALSE)</f>
        <v>0</v>
      </c>
      <c r="P397" t="b">
        <f>OR(ISNUMBER(MATCH(Checklist[[#This Row],[Type]], $B$3:$B$22, 0)), Checklist[[#This Row],[Type]] = "*")</f>
        <v>0</v>
      </c>
    </row>
    <row r="398" spans="4:16" x14ac:dyDescent="0.2">
      <c r="D398" t="s">
        <v>8</v>
      </c>
      <c r="E398" t="s">
        <v>146</v>
      </c>
      <c r="F398" t="s">
        <v>688</v>
      </c>
      <c r="G398" t="s">
        <v>856</v>
      </c>
      <c r="H398" t="s">
        <v>857</v>
      </c>
      <c r="I398" t="s">
        <v>13</v>
      </c>
      <c r="J398" t="s">
        <v>14</v>
      </c>
      <c r="O398" t="b">
        <f>IF(COUNTIFS($F$2:F398, F398, $P$2:P398, TRUE)&gt;1,TRUE,FALSE)</f>
        <v>0</v>
      </c>
      <c r="P398" t="b">
        <f>OR(ISNUMBER(MATCH(Checklist[[#This Row],[Type]], $B$3:$B$22, 0)), Checklist[[#This Row],[Type]] = "*")</f>
        <v>0</v>
      </c>
    </row>
    <row r="399" spans="4:16" x14ac:dyDescent="0.2">
      <c r="D399" t="s">
        <v>8</v>
      </c>
      <c r="E399" t="s">
        <v>146</v>
      </c>
      <c r="F399" t="s">
        <v>858</v>
      </c>
      <c r="G399" t="s">
        <v>859</v>
      </c>
      <c r="H399" t="s">
        <v>860</v>
      </c>
      <c r="I399" t="s">
        <v>13</v>
      </c>
      <c r="J399" t="s">
        <v>14</v>
      </c>
      <c r="O399" t="b">
        <f>IF(COUNTIFS($F$2:F399, F399, $P$2:P399, TRUE)&gt;1,TRUE,FALSE)</f>
        <v>0</v>
      </c>
      <c r="P399" t="b">
        <f>OR(ISNUMBER(MATCH(Checklist[[#This Row],[Type]], $B$3:$B$22, 0)), Checklist[[#This Row],[Type]] = "*")</f>
        <v>0</v>
      </c>
    </row>
    <row r="400" spans="4:16" x14ac:dyDescent="0.2">
      <c r="D400" t="s">
        <v>8</v>
      </c>
      <c r="E400" t="s">
        <v>147</v>
      </c>
      <c r="F400" t="s">
        <v>404</v>
      </c>
      <c r="G400" t="s">
        <v>405</v>
      </c>
      <c r="H400" t="s">
        <v>406</v>
      </c>
      <c r="I400" t="s">
        <v>13</v>
      </c>
      <c r="J400" t="s">
        <v>14</v>
      </c>
      <c r="O400" t="b">
        <f>IF(COUNTIFS($F$2:F400, F400, $P$2:P400, TRUE)&gt;1,TRUE,FALSE)</f>
        <v>0</v>
      </c>
      <c r="P400" t="b">
        <f>OR(ISNUMBER(MATCH(Checklist[[#This Row],[Type]], $B$3:$B$22, 0)), Checklist[[#This Row],[Type]] = "*")</f>
        <v>0</v>
      </c>
    </row>
    <row r="401" spans="4:16" x14ac:dyDescent="0.2">
      <c r="D401" t="s">
        <v>8</v>
      </c>
      <c r="E401" t="s">
        <v>147</v>
      </c>
      <c r="F401" t="s">
        <v>407</v>
      </c>
      <c r="G401" t="s">
        <v>408</v>
      </c>
      <c r="H401" t="s">
        <v>409</v>
      </c>
      <c r="I401" t="s">
        <v>13</v>
      </c>
      <c r="J401" t="s">
        <v>14</v>
      </c>
      <c r="O401" t="b">
        <f>IF(COUNTIFS($F$2:F401, F401, $P$2:P401, TRUE)&gt;1,TRUE,FALSE)</f>
        <v>0</v>
      </c>
      <c r="P401" t="b">
        <f>OR(ISNUMBER(MATCH(Checklist[[#This Row],[Type]], $B$3:$B$22, 0)), Checklist[[#This Row],[Type]] = "*")</f>
        <v>0</v>
      </c>
    </row>
    <row r="402" spans="4:16" x14ac:dyDescent="0.2">
      <c r="D402" t="s">
        <v>8</v>
      </c>
      <c r="E402" t="s">
        <v>147</v>
      </c>
      <c r="F402" t="s">
        <v>410</v>
      </c>
      <c r="G402" t="s">
        <v>411</v>
      </c>
      <c r="H402" t="s">
        <v>412</v>
      </c>
      <c r="I402" t="s">
        <v>13</v>
      </c>
      <c r="J402" t="s">
        <v>14</v>
      </c>
      <c r="O402" t="b">
        <f>IF(COUNTIFS($F$2:F402, F402, $P$2:P402, TRUE)&gt;1,TRUE,FALSE)</f>
        <v>0</v>
      </c>
      <c r="P402" t="b">
        <f>OR(ISNUMBER(MATCH(Checklist[[#This Row],[Type]], $B$3:$B$22, 0)), Checklist[[#This Row],[Type]] = "*")</f>
        <v>0</v>
      </c>
    </row>
    <row r="403" spans="4:16" x14ac:dyDescent="0.2">
      <c r="D403" t="s">
        <v>8</v>
      </c>
      <c r="E403" t="s">
        <v>147</v>
      </c>
      <c r="F403" t="s">
        <v>413</v>
      </c>
      <c r="G403" t="s">
        <v>414</v>
      </c>
      <c r="H403" t="s">
        <v>415</v>
      </c>
      <c r="I403" t="s">
        <v>13</v>
      </c>
      <c r="J403" t="s">
        <v>14</v>
      </c>
      <c r="O403" t="b">
        <f>IF(COUNTIFS($F$2:F403, F403, $P$2:P403, TRUE)&gt;1,TRUE,FALSE)</f>
        <v>0</v>
      </c>
      <c r="P403" t="b">
        <f>OR(ISNUMBER(MATCH(Checklist[[#This Row],[Type]], $B$3:$B$22, 0)), Checklist[[#This Row],[Type]] = "*")</f>
        <v>0</v>
      </c>
    </row>
    <row r="404" spans="4:16" x14ac:dyDescent="0.2">
      <c r="D404" t="s">
        <v>8</v>
      </c>
      <c r="E404" t="s">
        <v>147</v>
      </c>
      <c r="F404" t="s">
        <v>416</v>
      </c>
      <c r="G404" t="s">
        <v>417</v>
      </c>
      <c r="H404" t="s">
        <v>418</v>
      </c>
      <c r="I404" t="s">
        <v>13</v>
      </c>
      <c r="J404" t="s">
        <v>14</v>
      </c>
      <c r="O404" t="b">
        <f>IF(COUNTIFS($F$2:F404, F404, $P$2:P404, TRUE)&gt;1,TRUE,FALSE)</f>
        <v>0</v>
      </c>
      <c r="P404" t="b">
        <f>OR(ISNUMBER(MATCH(Checklist[[#This Row],[Type]], $B$3:$B$22, 0)), Checklist[[#This Row],[Type]] = "*")</f>
        <v>0</v>
      </c>
    </row>
    <row r="405" spans="4:16" x14ac:dyDescent="0.2">
      <c r="D405" t="s">
        <v>8</v>
      </c>
      <c r="E405" t="s">
        <v>147</v>
      </c>
      <c r="F405" t="s">
        <v>422</v>
      </c>
      <c r="G405" t="s">
        <v>423</v>
      </c>
      <c r="H405" t="s">
        <v>424</v>
      </c>
      <c r="I405" t="s">
        <v>13</v>
      </c>
      <c r="J405" t="s">
        <v>14</v>
      </c>
      <c r="O405" t="b">
        <f>IF(COUNTIFS($F$2:F405, F405, $P$2:P405, TRUE)&gt;1,TRUE,FALSE)</f>
        <v>0</v>
      </c>
      <c r="P405" t="b">
        <f>OR(ISNUMBER(MATCH(Checklist[[#This Row],[Type]], $B$3:$B$22, 0)), Checklist[[#This Row],[Type]] = "*")</f>
        <v>0</v>
      </c>
    </row>
    <row r="406" spans="4:16" x14ac:dyDescent="0.2">
      <c r="D406" t="s">
        <v>8</v>
      </c>
      <c r="E406" t="s">
        <v>147</v>
      </c>
      <c r="F406" t="s">
        <v>427</v>
      </c>
      <c r="G406" t="s">
        <v>133</v>
      </c>
      <c r="H406" t="s">
        <v>428</v>
      </c>
      <c r="I406" t="s">
        <v>13</v>
      </c>
      <c r="J406" t="s">
        <v>14</v>
      </c>
      <c r="O406" t="b">
        <f>IF(COUNTIFS($F$2:F406, F406, $P$2:P406, TRUE)&gt;1,TRUE,FALSE)</f>
        <v>0</v>
      </c>
      <c r="P406" t="b">
        <f>OR(ISNUMBER(MATCH(Checklist[[#This Row],[Type]], $B$3:$B$22, 0)), Checklist[[#This Row],[Type]] = "*")</f>
        <v>0</v>
      </c>
    </row>
    <row r="407" spans="4:16" x14ac:dyDescent="0.2">
      <c r="D407" t="s">
        <v>8</v>
      </c>
      <c r="E407" t="s">
        <v>147</v>
      </c>
      <c r="F407" t="s">
        <v>690</v>
      </c>
      <c r="G407" t="s">
        <v>445</v>
      </c>
      <c r="H407" t="s">
        <v>446</v>
      </c>
      <c r="I407" t="s">
        <v>13</v>
      </c>
      <c r="J407" t="s">
        <v>14</v>
      </c>
      <c r="O407" t="b">
        <f>IF(COUNTIFS($F$2:F407, F407, $P$2:P407, TRUE)&gt;1,TRUE,FALSE)</f>
        <v>0</v>
      </c>
      <c r="P407" t="b">
        <f>OR(ISNUMBER(MATCH(Checklist[[#This Row],[Type]], $B$3:$B$22, 0)), Checklist[[#This Row],[Type]] = "*")</f>
        <v>0</v>
      </c>
    </row>
    <row r="408" spans="4:16" x14ac:dyDescent="0.2">
      <c r="D408" t="s">
        <v>8</v>
      </c>
      <c r="E408" t="s">
        <v>149</v>
      </c>
      <c r="F408" t="s">
        <v>404</v>
      </c>
      <c r="G408" t="s">
        <v>405</v>
      </c>
      <c r="H408" t="s">
        <v>406</v>
      </c>
      <c r="I408" t="s">
        <v>13</v>
      </c>
      <c r="J408" t="s">
        <v>14</v>
      </c>
      <c r="O408" t="b">
        <f>IF(COUNTIFS($F$2:F408, F408, $P$2:P408, TRUE)&gt;1,TRUE,FALSE)</f>
        <v>0</v>
      </c>
      <c r="P408" t="b">
        <f>OR(ISNUMBER(MATCH(Checklist[[#This Row],[Type]], $B$3:$B$22, 0)), Checklist[[#This Row],[Type]] = "*")</f>
        <v>0</v>
      </c>
    </row>
    <row r="409" spans="4:16" x14ac:dyDescent="0.2">
      <c r="D409" t="s">
        <v>8</v>
      </c>
      <c r="E409" t="s">
        <v>149</v>
      </c>
      <c r="F409" t="s">
        <v>407</v>
      </c>
      <c r="G409" t="s">
        <v>408</v>
      </c>
      <c r="H409" t="s">
        <v>409</v>
      </c>
      <c r="I409" t="s">
        <v>13</v>
      </c>
      <c r="J409" t="s">
        <v>14</v>
      </c>
      <c r="O409" t="b">
        <f>IF(COUNTIFS($F$2:F409, F409, $P$2:P409, TRUE)&gt;1,TRUE,FALSE)</f>
        <v>0</v>
      </c>
      <c r="P409" t="b">
        <f>OR(ISNUMBER(MATCH(Checklist[[#This Row],[Type]], $B$3:$B$22, 0)), Checklist[[#This Row],[Type]] = "*")</f>
        <v>0</v>
      </c>
    </row>
    <row r="410" spans="4:16" x14ac:dyDescent="0.2">
      <c r="D410" t="s">
        <v>8</v>
      </c>
      <c r="E410" t="s">
        <v>149</v>
      </c>
      <c r="F410" t="s">
        <v>425</v>
      </c>
      <c r="G410" t="s">
        <v>204</v>
      </c>
      <c r="H410" t="s">
        <v>426</v>
      </c>
      <c r="I410" t="s">
        <v>13</v>
      </c>
      <c r="J410" t="s">
        <v>14</v>
      </c>
      <c r="O410" t="b">
        <f>IF(COUNTIFS($F$2:F410, F410, $P$2:P410, TRUE)&gt;1,TRUE,FALSE)</f>
        <v>0</v>
      </c>
      <c r="P410" t="b">
        <f>OR(ISNUMBER(MATCH(Checklist[[#This Row],[Type]], $B$3:$B$22, 0)), Checklist[[#This Row],[Type]] = "*")</f>
        <v>0</v>
      </c>
    </row>
    <row r="411" spans="4:16" x14ac:dyDescent="0.2">
      <c r="D411" t="s">
        <v>8</v>
      </c>
      <c r="E411" t="s">
        <v>149</v>
      </c>
      <c r="F411" t="s">
        <v>691</v>
      </c>
      <c r="G411" t="s">
        <v>150</v>
      </c>
      <c r="H411" t="s">
        <v>151</v>
      </c>
      <c r="I411" t="s">
        <v>13</v>
      </c>
      <c r="J411" t="s">
        <v>14</v>
      </c>
      <c r="O411" t="b">
        <f>IF(COUNTIFS($F$2:F411, F411, $P$2:P411, TRUE)&gt;1,TRUE,FALSE)</f>
        <v>0</v>
      </c>
      <c r="P411" t="b">
        <f>OR(ISNUMBER(MATCH(Checklist[[#This Row],[Type]], $B$3:$B$22, 0)), Checklist[[#This Row],[Type]] = "*")</f>
        <v>0</v>
      </c>
    </row>
    <row r="412" spans="4:16" x14ac:dyDescent="0.2">
      <c r="D412" t="s">
        <v>8</v>
      </c>
      <c r="E412" t="s">
        <v>149</v>
      </c>
      <c r="F412" t="s">
        <v>692</v>
      </c>
      <c r="G412" t="s">
        <v>445</v>
      </c>
      <c r="H412" t="s">
        <v>446</v>
      </c>
      <c r="I412" t="s">
        <v>13</v>
      </c>
      <c r="J412" t="s">
        <v>14</v>
      </c>
      <c r="O412" t="b">
        <f>IF(COUNTIFS($F$2:F412, F412, $P$2:P412, TRUE)&gt;1,TRUE,FALSE)</f>
        <v>0</v>
      </c>
      <c r="P412" t="b">
        <f>OR(ISNUMBER(MATCH(Checklist[[#This Row],[Type]], $B$3:$B$22, 0)), Checklist[[#This Row],[Type]] = "*")</f>
        <v>0</v>
      </c>
    </row>
    <row r="413" spans="4:16" x14ac:dyDescent="0.2">
      <c r="D413" t="s">
        <v>8</v>
      </c>
      <c r="E413" t="s">
        <v>149</v>
      </c>
      <c r="F413" t="s">
        <v>693</v>
      </c>
      <c r="G413" t="s">
        <v>430</v>
      </c>
      <c r="H413" t="s">
        <v>431</v>
      </c>
      <c r="I413" t="s">
        <v>13</v>
      </c>
      <c r="J413" t="s">
        <v>14</v>
      </c>
      <c r="O413" t="b">
        <f>IF(COUNTIFS($F$2:F413, F413, $P$2:P413, TRUE)&gt;1,TRUE,FALSE)</f>
        <v>0</v>
      </c>
      <c r="P413" t="b">
        <f>OR(ISNUMBER(MATCH(Checklist[[#This Row],[Type]], $B$3:$B$22, 0)), Checklist[[#This Row],[Type]] = "*")</f>
        <v>0</v>
      </c>
    </row>
    <row r="414" spans="4:16" x14ac:dyDescent="0.2">
      <c r="D414" t="s">
        <v>8</v>
      </c>
      <c r="E414" t="s">
        <v>152</v>
      </c>
      <c r="F414" t="s">
        <v>655</v>
      </c>
      <c r="G414" t="s">
        <v>195</v>
      </c>
      <c r="H414" t="s">
        <v>656</v>
      </c>
      <c r="I414" t="s">
        <v>13</v>
      </c>
      <c r="J414" t="s">
        <v>14</v>
      </c>
      <c r="O414" t="b">
        <f>IF(COUNTIFS($F$2:F414, F414, $P$2:P414, TRUE)&gt;1,TRUE,FALSE)</f>
        <v>0</v>
      </c>
      <c r="P414" t="b">
        <f>OR(ISNUMBER(MATCH(Checklist[[#This Row],[Type]], $B$3:$B$22, 0)), Checklist[[#This Row],[Type]] = "*")</f>
        <v>0</v>
      </c>
    </row>
    <row r="415" spans="4:16" x14ac:dyDescent="0.2">
      <c r="D415" t="s">
        <v>8</v>
      </c>
      <c r="E415" t="s">
        <v>152</v>
      </c>
      <c r="F415" t="s">
        <v>821</v>
      </c>
      <c r="G415" t="s">
        <v>870</v>
      </c>
      <c r="H415" t="s">
        <v>871</v>
      </c>
      <c r="I415" t="s">
        <v>13</v>
      </c>
      <c r="J415" t="s">
        <v>14</v>
      </c>
      <c r="O415" t="b">
        <f>IF(COUNTIFS($F$2:F415, F415, $P$2:P415, TRUE)&gt;1,TRUE,FALSE)</f>
        <v>0</v>
      </c>
      <c r="P415" t="b">
        <f>OR(ISNUMBER(MATCH(Checklist[[#This Row],[Type]], $B$3:$B$22, 0)), Checklist[[#This Row],[Type]] = "*")</f>
        <v>0</v>
      </c>
    </row>
    <row r="416" spans="4:16" x14ac:dyDescent="0.2">
      <c r="D416" t="s">
        <v>8</v>
      </c>
      <c r="E416" t="s">
        <v>152</v>
      </c>
      <c r="F416" t="s">
        <v>657</v>
      </c>
      <c r="G416" t="s">
        <v>658</v>
      </c>
      <c r="H416" t="s">
        <v>659</v>
      </c>
      <c r="I416" t="s">
        <v>13</v>
      </c>
      <c r="J416" t="s">
        <v>14</v>
      </c>
      <c r="O416" t="b">
        <f>IF(COUNTIFS($F$2:F416, F416, $P$2:P416, TRUE)&gt;1,TRUE,FALSE)</f>
        <v>0</v>
      </c>
      <c r="P416" t="b">
        <f>OR(ISNUMBER(MATCH(Checklist[[#This Row],[Type]], $B$3:$B$22, 0)), Checklist[[#This Row],[Type]] = "*")</f>
        <v>0</v>
      </c>
    </row>
    <row r="417" spans="4:16" x14ac:dyDescent="0.2">
      <c r="D417" t="s">
        <v>8</v>
      </c>
      <c r="E417" t="s">
        <v>152</v>
      </c>
      <c r="F417" t="s">
        <v>660</v>
      </c>
      <c r="G417" t="s">
        <v>661</v>
      </c>
      <c r="H417" t="s">
        <v>662</v>
      </c>
      <c r="I417" t="s">
        <v>13</v>
      </c>
      <c r="J417" t="s">
        <v>14</v>
      </c>
      <c r="O417" t="b">
        <f>IF(COUNTIFS($F$2:F417, F417, $P$2:P417, TRUE)&gt;1,TRUE,FALSE)</f>
        <v>0</v>
      </c>
      <c r="P417" t="b">
        <f>OR(ISNUMBER(MATCH(Checklist[[#This Row],[Type]], $B$3:$B$22, 0)), Checklist[[#This Row],[Type]] = "*")</f>
        <v>0</v>
      </c>
    </row>
    <row r="418" spans="4:16" x14ac:dyDescent="0.2">
      <c r="D418" t="s">
        <v>8</v>
      </c>
      <c r="E418" t="s">
        <v>152</v>
      </c>
      <c r="F418" t="s">
        <v>663</v>
      </c>
      <c r="G418" t="s">
        <v>664</v>
      </c>
      <c r="H418" t="s">
        <v>665</v>
      </c>
      <c r="I418" t="s">
        <v>13</v>
      </c>
      <c r="J418" t="s">
        <v>14</v>
      </c>
      <c r="O418" t="b">
        <f>IF(COUNTIFS($F$2:F418, F418, $P$2:P418, TRUE)&gt;1,TRUE,FALSE)</f>
        <v>0</v>
      </c>
      <c r="P418" t="b">
        <f>OR(ISNUMBER(MATCH(Checklist[[#This Row],[Type]], $B$3:$B$22, 0)), Checklist[[#This Row],[Type]] = "*")</f>
        <v>0</v>
      </c>
    </row>
    <row r="419" spans="4:16" x14ac:dyDescent="0.2">
      <c r="D419" t="s">
        <v>8</v>
      </c>
      <c r="E419" t="s">
        <v>152</v>
      </c>
      <c r="F419" t="s">
        <v>694</v>
      </c>
      <c r="G419" t="s">
        <v>589</v>
      </c>
      <c r="H419" t="s">
        <v>668</v>
      </c>
      <c r="I419" t="s">
        <v>13</v>
      </c>
      <c r="J419" t="s">
        <v>14</v>
      </c>
      <c r="O419" t="b">
        <f>IF(COUNTIFS($F$2:F419, F419, $P$2:P419, TRUE)&gt;1,TRUE,FALSE)</f>
        <v>0</v>
      </c>
      <c r="P419" t="b">
        <f>OR(ISNUMBER(MATCH(Checklist[[#This Row],[Type]], $B$3:$B$22, 0)), Checklist[[#This Row],[Type]] = "*")</f>
        <v>0</v>
      </c>
    </row>
    <row r="420" spans="4:16" x14ac:dyDescent="0.2">
      <c r="D420" t="s">
        <v>8</v>
      </c>
      <c r="E420" t="s">
        <v>153</v>
      </c>
      <c r="F420" t="s">
        <v>585</v>
      </c>
      <c r="G420" t="s">
        <v>86</v>
      </c>
      <c r="H420" t="s">
        <v>383</v>
      </c>
      <c r="I420" t="s">
        <v>13</v>
      </c>
      <c r="J420" t="s">
        <v>14</v>
      </c>
      <c r="O420" t="b">
        <f>IF(COUNTIFS($F$2:F420, F420, $P$2:P420, TRUE)&gt;1,TRUE,FALSE)</f>
        <v>0</v>
      </c>
      <c r="P420" t="b">
        <f>OR(ISNUMBER(MATCH(Checklist[[#This Row],[Type]], $B$3:$B$22, 0)), Checklist[[#This Row],[Type]] = "*")</f>
        <v>0</v>
      </c>
    </row>
    <row r="421" spans="4:16" x14ac:dyDescent="0.2">
      <c r="D421" t="s">
        <v>8</v>
      </c>
      <c r="E421" t="s">
        <v>153</v>
      </c>
      <c r="F421" t="s">
        <v>586</v>
      </c>
      <c r="G421" t="s">
        <v>385</v>
      </c>
      <c r="H421" t="s">
        <v>386</v>
      </c>
      <c r="I421" t="s">
        <v>13</v>
      </c>
      <c r="J421" t="s">
        <v>14</v>
      </c>
      <c r="O421" t="b">
        <f>IF(COUNTIFS($F$2:F421, F421, $P$2:P421, TRUE)&gt;1,TRUE,FALSE)</f>
        <v>0</v>
      </c>
      <c r="P421" t="b">
        <f>OR(ISNUMBER(MATCH(Checklist[[#This Row],[Type]], $B$3:$B$22, 0)), Checklist[[#This Row],[Type]] = "*")</f>
        <v>0</v>
      </c>
    </row>
    <row r="422" spans="4:16" x14ac:dyDescent="0.2">
      <c r="D422" t="s">
        <v>8</v>
      </c>
      <c r="E422" t="s">
        <v>153</v>
      </c>
      <c r="F422" t="s">
        <v>822</v>
      </c>
      <c r="G422" t="s">
        <v>823</v>
      </c>
      <c r="H422" t="s">
        <v>824</v>
      </c>
      <c r="I422" t="s">
        <v>13</v>
      </c>
      <c r="J422" t="s">
        <v>14</v>
      </c>
      <c r="O422" t="b">
        <f>IF(COUNTIFS($F$2:F422, F422, $P$2:P422, TRUE)&gt;1,TRUE,FALSE)</f>
        <v>0</v>
      </c>
      <c r="P422" t="b">
        <f>OR(ISNUMBER(MATCH(Checklist[[#This Row],[Type]], $B$3:$B$22, 0)), Checklist[[#This Row],[Type]] = "*")</f>
        <v>0</v>
      </c>
    </row>
    <row r="423" spans="4:16" x14ac:dyDescent="0.2">
      <c r="D423" t="s">
        <v>8</v>
      </c>
      <c r="E423" t="s">
        <v>153</v>
      </c>
      <c r="F423" t="s">
        <v>587</v>
      </c>
      <c r="G423" t="s">
        <v>401</v>
      </c>
      <c r="H423" t="s">
        <v>402</v>
      </c>
      <c r="I423" t="s">
        <v>13</v>
      </c>
      <c r="J423" t="s">
        <v>14</v>
      </c>
      <c r="O423" t="b">
        <f>IF(COUNTIFS($F$2:F423, F423, $P$2:P423, TRUE)&gt;1,TRUE,FALSE)</f>
        <v>0</v>
      </c>
      <c r="P423" t="b">
        <f>OR(ISNUMBER(MATCH(Checklist[[#This Row],[Type]], $B$3:$B$22, 0)), Checklist[[#This Row],[Type]] = "*")</f>
        <v>0</v>
      </c>
    </row>
    <row r="424" spans="4:16" x14ac:dyDescent="0.2">
      <c r="D424" t="s">
        <v>8</v>
      </c>
      <c r="E424" t="s">
        <v>153</v>
      </c>
      <c r="F424" t="s">
        <v>588</v>
      </c>
      <c r="G424" t="s">
        <v>589</v>
      </c>
      <c r="H424" t="s">
        <v>590</v>
      </c>
      <c r="I424" t="s">
        <v>13</v>
      </c>
      <c r="J424" t="s">
        <v>14</v>
      </c>
      <c r="O424" t="b">
        <f>IF(COUNTIFS($F$2:F424, F424, $P$2:P424, TRUE)&gt;1,TRUE,FALSE)</f>
        <v>0</v>
      </c>
      <c r="P424" t="b">
        <f>OR(ISNUMBER(MATCH(Checklist[[#This Row],[Type]], $B$3:$B$22, 0)), Checklist[[#This Row],[Type]] = "*")</f>
        <v>0</v>
      </c>
    </row>
    <row r="425" spans="4:16" x14ac:dyDescent="0.2">
      <c r="D425" t="s">
        <v>8</v>
      </c>
      <c r="E425" t="s">
        <v>153</v>
      </c>
      <c r="F425" t="s">
        <v>591</v>
      </c>
      <c r="G425" t="s">
        <v>388</v>
      </c>
      <c r="H425" t="s">
        <v>389</v>
      </c>
      <c r="I425" t="s">
        <v>13</v>
      </c>
      <c r="J425" t="s">
        <v>14</v>
      </c>
      <c r="O425" t="b">
        <f>IF(COUNTIFS($F$2:F425, F425, $P$2:P425, TRUE)&gt;1,TRUE,FALSE)</f>
        <v>0</v>
      </c>
      <c r="P425" t="b">
        <f>OR(ISNUMBER(MATCH(Checklist[[#This Row],[Type]], $B$3:$B$22, 0)), Checklist[[#This Row],[Type]] = "*")</f>
        <v>0</v>
      </c>
    </row>
    <row r="426" spans="4:16" x14ac:dyDescent="0.2">
      <c r="D426" t="s">
        <v>8</v>
      </c>
      <c r="E426" t="s">
        <v>153</v>
      </c>
      <c r="F426" t="s">
        <v>592</v>
      </c>
      <c r="G426" t="s">
        <v>391</v>
      </c>
      <c r="H426" t="s">
        <v>593</v>
      </c>
      <c r="I426" t="s">
        <v>13</v>
      </c>
      <c r="J426" t="s">
        <v>14</v>
      </c>
      <c r="O426" t="b">
        <f>IF(COUNTIFS($F$2:F426, F426, $P$2:P426, TRUE)&gt;1,TRUE,FALSE)</f>
        <v>0</v>
      </c>
      <c r="P426" t="b">
        <f>OR(ISNUMBER(MATCH(Checklist[[#This Row],[Type]], $B$3:$B$22, 0)), Checklist[[#This Row],[Type]] = "*")</f>
        <v>0</v>
      </c>
    </row>
    <row r="427" spans="4:16" x14ac:dyDescent="0.2">
      <c r="D427" t="s">
        <v>8</v>
      </c>
      <c r="E427" t="s">
        <v>153</v>
      </c>
      <c r="F427" t="s">
        <v>594</v>
      </c>
      <c r="G427" t="s">
        <v>161</v>
      </c>
      <c r="H427" t="s">
        <v>396</v>
      </c>
      <c r="I427" t="s">
        <v>13</v>
      </c>
      <c r="J427" t="s">
        <v>14</v>
      </c>
      <c r="O427" t="b">
        <f>IF(COUNTIFS($F$2:F427, F427, $P$2:P427, TRUE)&gt;1,TRUE,FALSE)</f>
        <v>0</v>
      </c>
      <c r="P427" t="b">
        <f>OR(ISNUMBER(MATCH(Checklist[[#This Row],[Type]], $B$3:$B$22, 0)), Checklist[[#This Row],[Type]] = "*")</f>
        <v>0</v>
      </c>
    </row>
    <row r="428" spans="4:16" x14ac:dyDescent="0.2">
      <c r="D428" t="s">
        <v>8</v>
      </c>
      <c r="E428" t="s">
        <v>153</v>
      </c>
      <c r="F428" t="s">
        <v>825</v>
      </c>
      <c r="G428" t="s">
        <v>826</v>
      </c>
      <c r="H428" t="s">
        <v>827</v>
      </c>
      <c r="I428" t="s">
        <v>13</v>
      </c>
      <c r="J428" t="s">
        <v>14</v>
      </c>
      <c r="O428" t="b">
        <f>IF(COUNTIFS($F$2:F428, F428, $P$2:P428, TRUE)&gt;1,TRUE,FALSE)</f>
        <v>0</v>
      </c>
      <c r="P428" t="b">
        <f>OR(ISNUMBER(MATCH(Checklist[[#This Row],[Type]], $B$3:$B$22, 0)), Checklist[[#This Row],[Type]] = "*")</f>
        <v>0</v>
      </c>
    </row>
    <row r="429" spans="4:16" x14ac:dyDescent="0.2">
      <c r="D429" t="s">
        <v>8</v>
      </c>
      <c r="E429" t="s">
        <v>155</v>
      </c>
      <c r="F429" t="s">
        <v>695</v>
      </c>
      <c r="G429" t="s">
        <v>156</v>
      </c>
      <c r="H429" t="s">
        <v>157</v>
      </c>
      <c r="I429" t="s">
        <v>13</v>
      </c>
      <c r="J429" t="s">
        <v>14</v>
      </c>
      <c r="O429" t="b">
        <f>IF(COUNTIFS($F$2:F429, F429, $P$2:P429, TRUE)&gt;1,TRUE,FALSE)</f>
        <v>0</v>
      </c>
      <c r="P429" t="b">
        <f>OR(ISNUMBER(MATCH(Checklist[[#This Row],[Type]], $B$3:$B$22, 0)), Checklist[[#This Row],[Type]] = "*")</f>
        <v>0</v>
      </c>
    </row>
    <row r="430" spans="4:16" x14ac:dyDescent="0.2">
      <c r="D430" t="s">
        <v>8</v>
      </c>
      <c r="E430" t="s">
        <v>155</v>
      </c>
      <c r="F430" t="s">
        <v>696</v>
      </c>
      <c r="G430" t="s">
        <v>158</v>
      </c>
      <c r="H430" t="s">
        <v>159</v>
      </c>
      <c r="I430" t="s">
        <v>13</v>
      </c>
      <c r="J430" t="s">
        <v>14</v>
      </c>
      <c r="O430" t="b">
        <f>IF(COUNTIFS($F$2:F430, F430, $P$2:P430, TRUE)&gt;1,TRUE,FALSE)</f>
        <v>0</v>
      </c>
      <c r="P430" t="b">
        <f>OR(ISNUMBER(MATCH(Checklist[[#This Row],[Type]], $B$3:$B$22, 0)), Checklist[[#This Row],[Type]] = "*")</f>
        <v>0</v>
      </c>
    </row>
    <row r="431" spans="4:16" x14ac:dyDescent="0.2">
      <c r="D431" t="s">
        <v>8</v>
      </c>
      <c r="E431" t="s">
        <v>160</v>
      </c>
      <c r="F431" t="s">
        <v>382</v>
      </c>
      <c r="G431" t="s">
        <v>86</v>
      </c>
      <c r="H431" t="s">
        <v>383</v>
      </c>
      <c r="I431" t="s">
        <v>13</v>
      </c>
      <c r="J431" t="s">
        <v>14</v>
      </c>
      <c r="O431" t="b">
        <f>IF(COUNTIFS($F$2:F431, F431, $P$2:P431, TRUE)&gt;1,TRUE,FALSE)</f>
        <v>0</v>
      </c>
      <c r="P431" t="b">
        <f>OR(ISNUMBER(MATCH(Checklist[[#This Row],[Type]], $B$3:$B$22, 0)), Checklist[[#This Row],[Type]] = "*")</f>
        <v>0</v>
      </c>
    </row>
    <row r="432" spans="4:16" x14ac:dyDescent="0.2">
      <c r="D432" t="s">
        <v>8</v>
      </c>
      <c r="E432" t="s">
        <v>160</v>
      </c>
      <c r="F432" t="s">
        <v>384</v>
      </c>
      <c r="G432" t="s">
        <v>385</v>
      </c>
      <c r="H432" t="s">
        <v>386</v>
      </c>
      <c r="I432" t="s">
        <v>13</v>
      </c>
      <c r="J432" t="s">
        <v>14</v>
      </c>
      <c r="O432" t="b">
        <f>IF(COUNTIFS($F$2:F432, F432, $P$2:P432, TRUE)&gt;1,TRUE,FALSE)</f>
        <v>0</v>
      </c>
      <c r="P432" t="b">
        <f>OR(ISNUMBER(MATCH(Checklist[[#This Row],[Type]], $B$3:$B$22, 0)), Checklist[[#This Row],[Type]] = "*")</f>
        <v>0</v>
      </c>
    </row>
    <row r="433" spans="4:16" x14ac:dyDescent="0.2">
      <c r="D433" t="s">
        <v>8</v>
      </c>
      <c r="E433" t="s">
        <v>160</v>
      </c>
      <c r="F433" t="s">
        <v>387</v>
      </c>
      <c r="G433" t="s">
        <v>388</v>
      </c>
      <c r="H433" t="s">
        <v>389</v>
      </c>
      <c r="I433" t="s">
        <v>13</v>
      </c>
      <c r="J433" t="s">
        <v>14</v>
      </c>
      <c r="O433" t="b">
        <f>IF(COUNTIFS($F$2:F433, F433, $P$2:P433, TRUE)&gt;1,TRUE,FALSE)</f>
        <v>0</v>
      </c>
      <c r="P433" t="b">
        <f>OR(ISNUMBER(MATCH(Checklist[[#This Row],[Type]], $B$3:$B$22, 0)), Checklist[[#This Row],[Type]] = "*")</f>
        <v>0</v>
      </c>
    </row>
    <row r="434" spans="4:16" x14ac:dyDescent="0.2">
      <c r="D434" t="s">
        <v>8</v>
      </c>
      <c r="E434" t="s">
        <v>160</v>
      </c>
      <c r="F434" t="s">
        <v>390</v>
      </c>
      <c r="G434" t="s">
        <v>391</v>
      </c>
      <c r="H434" t="s">
        <v>386</v>
      </c>
      <c r="I434" t="s">
        <v>13</v>
      </c>
      <c r="J434" t="s">
        <v>14</v>
      </c>
      <c r="O434" t="b">
        <f>IF(COUNTIFS($F$2:F434, F434, $P$2:P434, TRUE)&gt;1,TRUE,FALSE)</f>
        <v>0</v>
      </c>
      <c r="P434" t="b">
        <f>OR(ISNUMBER(MATCH(Checklist[[#This Row],[Type]], $B$3:$B$22, 0)), Checklist[[#This Row],[Type]] = "*")</f>
        <v>0</v>
      </c>
    </row>
    <row r="435" spans="4:16" x14ac:dyDescent="0.2">
      <c r="D435" t="s">
        <v>8</v>
      </c>
      <c r="E435" t="s">
        <v>160</v>
      </c>
      <c r="F435" t="s">
        <v>392</v>
      </c>
      <c r="G435" t="s">
        <v>393</v>
      </c>
      <c r="H435" t="s">
        <v>394</v>
      </c>
      <c r="I435" t="s">
        <v>13</v>
      </c>
      <c r="J435" t="s">
        <v>14</v>
      </c>
      <c r="O435" t="b">
        <f>IF(COUNTIFS($F$2:F435, F435, $P$2:P435, TRUE)&gt;1,TRUE,FALSE)</f>
        <v>0</v>
      </c>
      <c r="P435" t="b">
        <f>OR(ISNUMBER(MATCH(Checklist[[#This Row],[Type]], $B$3:$B$22, 0)), Checklist[[#This Row],[Type]] = "*")</f>
        <v>0</v>
      </c>
    </row>
    <row r="436" spans="4:16" x14ac:dyDescent="0.2">
      <c r="D436" t="s">
        <v>8</v>
      </c>
      <c r="E436" t="s">
        <v>160</v>
      </c>
      <c r="F436" t="s">
        <v>395</v>
      </c>
      <c r="G436" t="s">
        <v>161</v>
      </c>
      <c r="H436" t="s">
        <v>396</v>
      </c>
      <c r="I436" t="s">
        <v>13</v>
      </c>
      <c r="J436" t="s">
        <v>14</v>
      </c>
      <c r="O436" t="b">
        <f>IF(COUNTIFS($F$2:F436, F436, $P$2:P436, TRUE)&gt;1,TRUE,FALSE)</f>
        <v>0</v>
      </c>
      <c r="P436" t="b">
        <f>OR(ISNUMBER(MATCH(Checklist[[#This Row],[Type]], $B$3:$B$22, 0)), Checklist[[#This Row],[Type]] = "*")</f>
        <v>0</v>
      </c>
    </row>
    <row r="437" spans="4:16" x14ac:dyDescent="0.2">
      <c r="D437" t="s">
        <v>8</v>
      </c>
      <c r="E437" t="s">
        <v>160</v>
      </c>
      <c r="F437" t="s">
        <v>397</v>
      </c>
      <c r="G437" t="s">
        <v>398</v>
      </c>
      <c r="H437" t="s">
        <v>399</v>
      </c>
      <c r="I437" t="s">
        <v>13</v>
      </c>
      <c r="J437" t="s">
        <v>14</v>
      </c>
      <c r="O437" t="b">
        <f>IF(COUNTIFS($F$2:F437, F437, $P$2:P437, TRUE)&gt;1,TRUE,FALSE)</f>
        <v>0</v>
      </c>
      <c r="P437" t="b">
        <f>OR(ISNUMBER(MATCH(Checklist[[#This Row],[Type]], $B$3:$B$22, 0)), Checklist[[#This Row],[Type]] = "*")</f>
        <v>0</v>
      </c>
    </row>
    <row r="438" spans="4:16" x14ac:dyDescent="0.2">
      <c r="D438" t="s">
        <v>8</v>
      </c>
      <c r="E438" t="s">
        <v>160</v>
      </c>
      <c r="F438" t="s">
        <v>828</v>
      </c>
      <c r="G438" t="s">
        <v>823</v>
      </c>
      <c r="H438" t="s">
        <v>824</v>
      </c>
      <c r="I438" t="s">
        <v>13</v>
      </c>
      <c r="J438" t="s">
        <v>14</v>
      </c>
      <c r="O438" t="b">
        <f>IF(COUNTIFS($F$2:F438, F438, $P$2:P438, TRUE)&gt;1,TRUE,FALSE)</f>
        <v>0</v>
      </c>
      <c r="P438" t="b">
        <f>OR(ISNUMBER(MATCH(Checklist[[#This Row],[Type]], $B$3:$B$22, 0)), Checklist[[#This Row],[Type]] = "*")</f>
        <v>0</v>
      </c>
    </row>
    <row r="439" spans="4:16" x14ac:dyDescent="0.2">
      <c r="D439" t="s">
        <v>8</v>
      </c>
      <c r="E439" t="s">
        <v>160</v>
      </c>
      <c r="F439" t="s">
        <v>400</v>
      </c>
      <c r="G439" t="s">
        <v>401</v>
      </c>
      <c r="H439" t="s">
        <v>402</v>
      </c>
      <c r="I439" t="s">
        <v>13</v>
      </c>
      <c r="J439" t="s">
        <v>14</v>
      </c>
      <c r="O439" t="b">
        <f>IF(COUNTIFS($F$2:F439, F439, $P$2:P439, TRUE)&gt;1,TRUE,FALSE)</f>
        <v>0</v>
      </c>
      <c r="P439" t="b">
        <f>OR(ISNUMBER(MATCH(Checklist[[#This Row],[Type]], $B$3:$B$22, 0)), Checklist[[#This Row],[Type]] = "*")</f>
        <v>0</v>
      </c>
    </row>
    <row r="440" spans="4:16" x14ac:dyDescent="0.2">
      <c r="D440" t="s">
        <v>8</v>
      </c>
      <c r="E440" t="s">
        <v>160</v>
      </c>
      <c r="F440" t="s">
        <v>829</v>
      </c>
      <c r="G440" t="s">
        <v>589</v>
      </c>
      <c r="H440" t="s">
        <v>590</v>
      </c>
      <c r="I440" t="s">
        <v>13</v>
      </c>
      <c r="J440" t="s">
        <v>14</v>
      </c>
      <c r="O440" t="b">
        <f>IF(COUNTIFS($F$2:F440, F440, $P$2:P440, TRUE)&gt;1,TRUE,FALSE)</f>
        <v>0</v>
      </c>
      <c r="P440" t="b">
        <f>OR(ISNUMBER(MATCH(Checklist[[#This Row],[Type]], $B$3:$B$22, 0)), Checklist[[#This Row],[Type]] = "*")</f>
        <v>0</v>
      </c>
    </row>
    <row r="441" spans="4:16" x14ac:dyDescent="0.2">
      <c r="D441" t="s">
        <v>8</v>
      </c>
      <c r="E441" t="s">
        <v>160</v>
      </c>
      <c r="F441" t="s">
        <v>830</v>
      </c>
      <c r="G441" t="s">
        <v>831</v>
      </c>
      <c r="H441" t="s">
        <v>832</v>
      </c>
      <c r="I441" t="s">
        <v>13</v>
      </c>
      <c r="J441" t="s">
        <v>14</v>
      </c>
      <c r="O441" t="b">
        <f>IF(COUNTIFS($F$2:F441, F441, $P$2:P441, TRUE)&gt;1,TRUE,FALSE)</f>
        <v>0</v>
      </c>
      <c r="P441" t="b">
        <f>OR(ISNUMBER(MATCH(Checklist[[#This Row],[Type]], $B$3:$B$22, 0)), Checklist[[#This Row],[Type]] = "*")</f>
        <v>0</v>
      </c>
    </row>
    <row r="442" spans="4:16" x14ac:dyDescent="0.2">
      <c r="D442" t="s">
        <v>8</v>
      </c>
      <c r="E442" t="s">
        <v>160</v>
      </c>
      <c r="F442" t="s">
        <v>403</v>
      </c>
      <c r="G442" t="s">
        <v>56</v>
      </c>
      <c r="H442" t="s">
        <v>57</v>
      </c>
      <c r="I442" t="s">
        <v>13</v>
      </c>
      <c r="J442" t="s">
        <v>14</v>
      </c>
      <c r="O442" t="b">
        <f>IF(COUNTIFS($F$2:F442, F442, $P$2:P442, TRUE)&gt;1,TRUE,FALSE)</f>
        <v>0</v>
      </c>
      <c r="P442" t="b">
        <f>OR(ISNUMBER(MATCH(Checklist[[#This Row],[Type]], $B$3:$B$22, 0)), Checklist[[#This Row],[Type]] = "*")</f>
        <v>0</v>
      </c>
    </row>
    <row r="443" spans="4:16" x14ac:dyDescent="0.2">
      <c r="D443" t="s">
        <v>8</v>
      </c>
      <c r="E443" t="s">
        <v>163</v>
      </c>
      <c r="F443" t="s">
        <v>585</v>
      </c>
      <c r="G443" t="s">
        <v>86</v>
      </c>
      <c r="H443" t="s">
        <v>383</v>
      </c>
      <c r="I443" t="s">
        <v>13</v>
      </c>
      <c r="J443" t="s">
        <v>14</v>
      </c>
      <c r="O443" t="b">
        <f>IF(COUNTIFS($F$2:F443, F443, $P$2:P443, TRUE)&gt;1,TRUE,FALSE)</f>
        <v>0</v>
      </c>
      <c r="P443" t="b">
        <f>OR(ISNUMBER(MATCH(Checklist[[#This Row],[Type]], $B$3:$B$22, 0)), Checklist[[#This Row],[Type]] = "*")</f>
        <v>0</v>
      </c>
    </row>
    <row r="444" spans="4:16" x14ac:dyDescent="0.2">
      <c r="D444" t="s">
        <v>8</v>
      </c>
      <c r="E444" t="s">
        <v>163</v>
      </c>
      <c r="F444" t="s">
        <v>586</v>
      </c>
      <c r="G444" t="s">
        <v>385</v>
      </c>
      <c r="H444" t="s">
        <v>386</v>
      </c>
      <c r="I444" t="s">
        <v>13</v>
      </c>
      <c r="J444" t="s">
        <v>14</v>
      </c>
      <c r="O444" t="b">
        <f>IF(COUNTIFS($F$2:F444, F444, $P$2:P444, TRUE)&gt;1,TRUE,FALSE)</f>
        <v>0</v>
      </c>
      <c r="P444" t="b">
        <f>OR(ISNUMBER(MATCH(Checklist[[#This Row],[Type]], $B$3:$B$22, 0)), Checklist[[#This Row],[Type]] = "*")</f>
        <v>0</v>
      </c>
    </row>
    <row r="445" spans="4:16" x14ac:dyDescent="0.2">
      <c r="D445" t="s">
        <v>8</v>
      </c>
      <c r="E445" t="s">
        <v>163</v>
      </c>
      <c r="F445" t="s">
        <v>822</v>
      </c>
      <c r="G445" t="s">
        <v>823</v>
      </c>
      <c r="H445" t="s">
        <v>824</v>
      </c>
      <c r="I445" t="s">
        <v>13</v>
      </c>
      <c r="J445" t="s">
        <v>14</v>
      </c>
      <c r="O445" t="b">
        <f>IF(COUNTIFS($F$2:F445, F445, $P$2:P445, TRUE)&gt;1,TRUE,FALSE)</f>
        <v>0</v>
      </c>
      <c r="P445" t="b">
        <f>OR(ISNUMBER(MATCH(Checklist[[#This Row],[Type]], $B$3:$B$22, 0)), Checklist[[#This Row],[Type]] = "*")</f>
        <v>0</v>
      </c>
    </row>
    <row r="446" spans="4:16" x14ac:dyDescent="0.2">
      <c r="D446" t="s">
        <v>8</v>
      </c>
      <c r="E446" t="s">
        <v>163</v>
      </c>
      <c r="F446" t="s">
        <v>587</v>
      </c>
      <c r="G446" t="s">
        <v>401</v>
      </c>
      <c r="H446" t="s">
        <v>402</v>
      </c>
      <c r="I446" t="s">
        <v>13</v>
      </c>
      <c r="J446" t="s">
        <v>14</v>
      </c>
      <c r="O446" t="b">
        <f>IF(COUNTIFS($F$2:F446, F446, $P$2:P446, TRUE)&gt;1,TRUE,FALSE)</f>
        <v>0</v>
      </c>
      <c r="P446" t="b">
        <f>OR(ISNUMBER(MATCH(Checklist[[#This Row],[Type]], $B$3:$B$22, 0)), Checklist[[#This Row],[Type]] = "*")</f>
        <v>0</v>
      </c>
    </row>
    <row r="447" spans="4:16" x14ac:dyDescent="0.2">
      <c r="D447" t="s">
        <v>8</v>
      </c>
      <c r="E447" t="s">
        <v>163</v>
      </c>
      <c r="F447" t="s">
        <v>588</v>
      </c>
      <c r="G447" t="s">
        <v>589</v>
      </c>
      <c r="H447" t="s">
        <v>590</v>
      </c>
      <c r="I447" t="s">
        <v>13</v>
      </c>
      <c r="J447" t="s">
        <v>14</v>
      </c>
      <c r="O447" t="b">
        <f>IF(COUNTIFS($F$2:F447, F447, $P$2:P447, TRUE)&gt;1,TRUE,FALSE)</f>
        <v>0</v>
      </c>
      <c r="P447" t="b">
        <f>OR(ISNUMBER(MATCH(Checklist[[#This Row],[Type]], $B$3:$B$22, 0)), Checklist[[#This Row],[Type]] = "*")</f>
        <v>0</v>
      </c>
    </row>
    <row r="448" spans="4:16" x14ac:dyDescent="0.2">
      <c r="D448" t="s">
        <v>8</v>
      </c>
      <c r="E448" t="s">
        <v>163</v>
      </c>
      <c r="F448" t="s">
        <v>591</v>
      </c>
      <c r="G448" t="s">
        <v>388</v>
      </c>
      <c r="H448" t="s">
        <v>389</v>
      </c>
      <c r="I448" t="s">
        <v>13</v>
      </c>
      <c r="J448" t="s">
        <v>14</v>
      </c>
      <c r="O448" t="b">
        <f>IF(COUNTIFS($F$2:F448, F448, $P$2:P448, TRUE)&gt;1,TRUE,FALSE)</f>
        <v>0</v>
      </c>
      <c r="P448" t="b">
        <f>OR(ISNUMBER(MATCH(Checklist[[#This Row],[Type]], $B$3:$B$22, 0)), Checklist[[#This Row],[Type]] = "*")</f>
        <v>0</v>
      </c>
    </row>
    <row r="449" spans="4:16" x14ac:dyDescent="0.2">
      <c r="D449" t="s">
        <v>8</v>
      </c>
      <c r="E449" t="s">
        <v>163</v>
      </c>
      <c r="F449" t="s">
        <v>592</v>
      </c>
      <c r="G449" t="s">
        <v>391</v>
      </c>
      <c r="H449" t="s">
        <v>593</v>
      </c>
      <c r="I449" t="s">
        <v>13</v>
      </c>
      <c r="J449" t="s">
        <v>14</v>
      </c>
      <c r="O449" t="b">
        <f>IF(COUNTIFS($F$2:F449, F449, $P$2:P449, TRUE)&gt;1,TRUE,FALSE)</f>
        <v>0</v>
      </c>
      <c r="P449" t="b">
        <f>OR(ISNUMBER(MATCH(Checklist[[#This Row],[Type]], $B$3:$B$22, 0)), Checklist[[#This Row],[Type]] = "*")</f>
        <v>0</v>
      </c>
    </row>
    <row r="450" spans="4:16" x14ac:dyDescent="0.2">
      <c r="D450" t="s">
        <v>8</v>
      </c>
      <c r="E450" t="s">
        <v>163</v>
      </c>
      <c r="F450" t="s">
        <v>594</v>
      </c>
      <c r="G450" t="s">
        <v>161</v>
      </c>
      <c r="H450" t="s">
        <v>396</v>
      </c>
      <c r="I450" t="s">
        <v>13</v>
      </c>
      <c r="J450" t="s">
        <v>14</v>
      </c>
      <c r="O450" t="b">
        <f>IF(COUNTIFS($F$2:F450, F450, $P$2:P450, TRUE)&gt;1,TRUE,FALSE)</f>
        <v>0</v>
      </c>
      <c r="P450" t="b">
        <f>OR(ISNUMBER(MATCH(Checklist[[#This Row],[Type]], $B$3:$B$22, 0)), Checklist[[#This Row],[Type]] = "*")</f>
        <v>0</v>
      </c>
    </row>
    <row r="451" spans="4:16" x14ac:dyDescent="0.2">
      <c r="D451" t="s">
        <v>8</v>
      </c>
      <c r="E451" t="s">
        <v>163</v>
      </c>
      <c r="F451" t="s">
        <v>825</v>
      </c>
      <c r="G451" t="s">
        <v>826</v>
      </c>
      <c r="H451" t="s">
        <v>827</v>
      </c>
      <c r="I451" t="s">
        <v>13</v>
      </c>
      <c r="J451" t="s">
        <v>14</v>
      </c>
      <c r="O451" t="b">
        <f>IF(COUNTIFS($F$2:F451, F451, $P$2:P451, TRUE)&gt;1,TRUE,FALSE)</f>
        <v>0</v>
      </c>
      <c r="P451" t="b">
        <f>OR(ISNUMBER(MATCH(Checklist[[#This Row],[Type]], $B$3:$B$22, 0)), Checklist[[#This Row],[Type]] = "*")</f>
        <v>0</v>
      </c>
    </row>
    <row r="452" spans="4:16" x14ac:dyDescent="0.2">
      <c r="D452" t="s">
        <v>8</v>
      </c>
      <c r="E452" t="s">
        <v>164</v>
      </c>
      <c r="F452" t="s">
        <v>387</v>
      </c>
      <c r="G452" t="s">
        <v>388</v>
      </c>
      <c r="H452" t="s">
        <v>389</v>
      </c>
      <c r="I452" t="s">
        <v>13</v>
      </c>
      <c r="J452" t="s">
        <v>14</v>
      </c>
      <c r="O452" t="b">
        <f>IF(COUNTIFS($F$2:F452, F452, $P$2:P452, TRUE)&gt;1,TRUE,FALSE)</f>
        <v>0</v>
      </c>
      <c r="P452" t="b">
        <f>OR(ISNUMBER(MATCH(Checklist[[#This Row],[Type]], $B$3:$B$22, 0)), Checklist[[#This Row],[Type]] = "*")</f>
        <v>0</v>
      </c>
    </row>
    <row r="453" spans="4:16" x14ac:dyDescent="0.2">
      <c r="D453" t="s">
        <v>8</v>
      </c>
      <c r="E453" t="s">
        <v>164</v>
      </c>
      <c r="F453" t="s">
        <v>390</v>
      </c>
      <c r="G453" t="s">
        <v>391</v>
      </c>
      <c r="H453" t="s">
        <v>386</v>
      </c>
      <c r="I453" t="s">
        <v>13</v>
      </c>
      <c r="J453" t="s">
        <v>14</v>
      </c>
      <c r="O453" t="b">
        <f>IF(COUNTIFS($F$2:F453, F453, $P$2:P453, TRUE)&gt;1,TRUE,FALSE)</f>
        <v>0</v>
      </c>
      <c r="P453" t="b">
        <f>OR(ISNUMBER(MATCH(Checklist[[#This Row],[Type]], $B$3:$B$22, 0)), Checklist[[#This Row],[Type]] = "*")</f>
        <v>0</v>
      </c>
    </row>
    <row r="454" spans="4:16" x14ac:dyDescent="0.2">
      <c r="D454" t="s">
        <v>8</v>
      </c>
      <c r="E454" t="s">
        <v>164</v>
      </c>
      <c r="F454" t="s">
        <v>397</v>
      </c>
      <c r="G454" t="s">
        <v>398</v>
      </c>
      <c r="H454" t="s">
        <v>399</v>
      </c>
      <c r="I454" t="s">
        <v>13</v>
      </c>
      <c r="J454" t="s">
        <v>14</v>
      </c>
      <c r="O454" t="b">
        <f>IF(COUNTIFS($F$2:F454, F454, $P$2:P454, TRUE)&gt;1,TRUE,FALSE)</f>
        <v>0</v>
      </c>
      <c r="P454" t="b">
        <f>OR(ISNUMBER(MATCH(Checklist[[#This Row],[Type]], $B$3:$B$22, 0)), Checklist[[#This Row],[Type]] = "*")</f>
        <v>0</v>
      </c>
    </row>
    <row r="455" spans="4:16" x14ac:dyDescent="0.2">
      <c r="D455" t="s">
        <v>8</v>
      </c>
      <c r="E455" t="s">
        <v>164</v>
      </c>
      <c r="F455" t="s">
        <v>830</v>
      </c>
      <c r="G455" t="s">
        <v>831</v>
      </c>
      <c r="H455" t="s">
        <v>832</v>
      </c>
      <c r="I455" t="s">
        <v>13</v>
      </c>
      <c r="J455" t="s">
        <v>14</v>
      </c>
      <c r="O455" t="b">
        <f>IF(COUNTIFS($F$2:F455, F455, $P$2:P455, TRUE)&gt;1,TRUE,FALSE)</f>
        <v>0</v>
      </c>
      <c r="P455" t="b">
        <f>OR(ISNUMBER(MATCH(Checklist[[#This Row],[Type]], $B$3:$B$22, 0)), Checklist[[#This Row],[Type]] = "*")</f>
        <v>0</v>
      </c>
    </row>
    <row r="456" spans="4:16" x14ac:dyDescent="0.2">
      <c r="D456" t="s">
        <v>8</v>
      </c>
      <c r="E456" t="s">
        <v>164</v>
      </c>
      <c r="F456" t="s">
        <v>403</v>
      </c>
      <c r="G456" t="s">
        <v>56</v>
      </c>
      <c r="H456" t="s">
        <v>57</v>
      </c>
      <c r="I456" t="s">
        <v>13</v>
      </c>
      <c r="J456" t="s">
        <v>14</v>
      </c>
      <c r="O456" t="b">
        <f>IF(COUNTIFS($F$2:F456, F456, $P$2:P456, TRUE)&gt;1,TRUE,FALSE)</f>
        <v>0</v>
      </c>
      <c r="P456" t="b">
        <f>OR(ISNUMBER(MATCH(Checklist[[#This Row],[Type]], $B$3:$B$22, 0)), Checklist[[#This Row],[Type]] = "*")</f>
        <v>0</v>
      </c>
    </row>
    <row r="457" spans="4:16" x14ac:dyDescent="0.2">
      <c r="D457" t="s">
        <v>8</v>
      </c>
      <c r="E457" t="s">
        <v>164</v>
      </c>
      <c r="F457" t="s">
        <v>697</v>
      </c>
      <c r="G457" t="s">
        <v>165</v>
      </c>
      <c r="H457" t="s">
        <v>166</v>
      </c>
      <c r="I457" t="s">
        <v>13</v>
      </c>
      <c r="J457" t="s">
        <v>14</v>
      </c>
      <c r="O457" t="b">
        <f>IF(COUNTIFS($F$2:F457, F457, $P$2:P457, TRUE)&gt;1,TRUE,FALSE)</f>
        <v>0</v>
      </c>
      <c r="P457" t="b">
        <f>OR(ISNUMBER(MATCH(Checklist[[#This Row],[Type]], $B$3:$B$22, 0)), Checklist[[#This Row],[Type]] = "*")</f>
        <v>0</v>
      </c>
    </row>
    <row r="458" spans="4:16" x14ac:dyDescent="0.2">
      <c r="D458" t="s">
        <v>8</v>
      </c>
      <c r="E458" t="s">
        <v>164</v>
      </c>
      <c r="F458" t="s">
        <v>698</v>
      </c>
      <c r="G458" t="s">
        <v>408</v>
      </c>
      <c r="H458" t="s">
        <v>699</v>
      </c>
      <c r="I458" t="s">
        <v>13</v>
      </c>
      <c r="J458" t="s">
        <v>14</v>
      </c>
      <c r="O458" t="b">
        <f>IF(COUNTIFS($F$2:F458, F458, $P$2:P458, TRUE)&gt;1,TRUE,FALSE)</f>
        <v>0</v>
      </c>
      <c r="P458" t="b">
        <f>OR(ISNUMBER(MATCH(Checklist[[#This Row],[Type]], $B$3:$B$22, 0)), Checklist[[#This Row],[Type]] = "*")</f>
        <v>0</v>
      </c>
    </row>
    <row r="459" spans="4:16" x14ac:dyDescent="0.2">
      <c r="D459" t="s">
        <v>8</v>
      </c>
      <c r="E459" t="s">
        <v>168</v>
      </c>
      <c r="F459" t="s">
        <v>404</v>
      </c>
      <c r="G459" t="s">
        <v>405</v>
      </c>
      <c r="H459" t="s">
        <v>406</v>
      </c>
      <c r="I459" t="s">
        <v>13</v>
      </c>
      <c r="J459" t="s">
        <v>14</v>
      </c>
      <c r="O459" t="b">
        <f>IF(COUNTIFS($F$2:F459, F459, $P$2:P459, TRUE)&gt;1,TRUE,FALSE)</f>
        <v>0</v>
      </c>
      <c r="P459" t="b">
        <f>OR(ISNUMBER(MATCH(Checklist[[#This Row],[Type]], $B$3:$B$22, 0)), Checklist[[#This Row],[Type]] = "*")</f>
        <v>0</v>
      </c>
    </row>
    <row r="460" spans="4:16" x14ac:dyDescent="0.2">
      <c r="D460" t="s">
        <v>8</v>
      </c>
      <c r="E460" t="s">
        <v>168</v>
      </c>
      <c r="F460" t="s">
        <v>407</v>
      </c>
      <c r="G460" t="s">
        <v>408</v>
      </c>
      <c r="H460" t="s">
        <v>409</v>
      </c>
      <c r="I460" t="s">
        <v>13</v>
      </c>
      <c r="J460" t="s">
        <v>14</v>
      </c>
      <c r="O460" t="b">
        <f>IF(COUNTIFS($F$2:F460, F460, $P$2:P460, TRUE)&gt;1,TRUE,FALSE)</f>
        <v>0</v>
      </c>
      <c r="P460" t="b">
        <f>OR(ISNUMBER(MATCH(Checklist[[#This Row],[Type]], $B$3:$B$22, 0)), Checklist[[#This Row],[Type]] = "*")</f>
        <v>0</v>
      </c>
    </row>
    <row r="461" spans="4:16" x14ac:dyDescent="0.2">
      <c r="D461" t="s">
        <v>8</v>
      </c>
      <c r="E461" t="s">
        <v>168</v>
      </c>
      <c r="F461" t="s">
        <v>410</v>
      </c>
      <c r="G461" t="s">
        <v>411</v>
      </c>
      <c r="H461" t="s">
        <v>412</v>
      </c>
      <c r="I461" t="s">
        <v>13</v>
      </c>
      <c r="J461" t="s">
        <v>14</v>
      </c>
      <c r="O461" t="b">
        <f>IF(COUNTIFS($F$2:F461, F461, $P$2:P461, TRUE)&gt;1,TRUE,FALSE)</f>
        <v>0</v>
      </c>
      <c r="P461" t="b">
        <f>OR(ISNUMBER(MATCH(Checklist[[#This Row],[Type]], $B$3:$B$22, 0)), Checklist[[#This Row],[Type]] = "*")</f>
        <v>0</v>
      </c>
    </row>
    <row r="462" spans="4:16" x14ac:dyDescent="0.2">
      <c r="D462" t="s">
        <v>8</v>
      </c>
      <c r="E462" t="s">
        <v>168</v>
      </c>
      <c r="F462" t="s">
        <v>416</v>
      </c>
      <c r="G462" t="s">
        <v>417</v>
      </c>
      <c r="H462" t="s">
        <v>418</v>
      </c>
      <c r="I462" t="s">
        <v>13</v>
      </c>
      <c r="J462" t="s">
        <v>14</v>
      </c>
      <c r="O462" t="b">
        <f>IF(COUNTIFS($F$2:F462, F462, $P$2:P462, TRUE)&gt;1,TRUE,FALSE)</f>
        <v>0</v>
      </c>
      <c r="P462" t="b">
        <f>OR(ISNUMBER(MATCH(Checklist[[#This Row],[Type]], $B$3:$B$22, 0)), Checklist[[#This Row],[Type]] = "*")</f>
        <v>0</v>
      </c>
    </row>
    <row r="463" spans="4:16" x14ac:dyDescent="0.2">
      <c r="D463" t="s">
        <v>8</v>
      </c>
      <c r="E463" t="s">
        <v>168</v>
      </c>
      <c r="F463" t="s">
        <v>422</v>
      </c>
      <c r="G463" t="s">
        <v>423</v>
      </c>
      <c r="H463" t="s">
        <v>424</v>
      </c>
      <c r="I463" t="s">
        <v>13</v>
      </c>
      <c r="J463" t="s">
        <v>14</v>
      </c>
      <c r="O463" t="b">
        <f>IF(COUNTIFS($F$2:F463, F463, $P$2:P463, TRUE)&gt;1,TRUE,FALSE)</f>
        <v>0</v>
      </c>
      <c r="P463" t="b">
        <f>OR(ISNUMBER(MATCH(Checklist[[#This Row],[Type]], $B$3:$B$22, 0)), Checklist[[#This Row],[Type]] = "*")</f>
        <v>0</v>
      </c>
    </row>
    <row r="464" spans="4:16" x14ac:dyDescent="0.2">
      <c r="D464" t="s">
        <v>8</v>
      </c>
      <c r="E464" t="s">
        <v>168</v>
      </c>
      <c r="F464" t="s">
        <v>427</v>
      </c>
      <c r="G464" t="s">
        <v>133</v>
      </c>
      <c r="H464" t="s">
        <v>428</v>
      </c>
      <c r="I464" t="s">
        <v>13</v>
      </c>
      <c r="J464" t="s">
        <v>14</v>
      </c>
      <c r="O464" t="b">
        <f>IF(COUNTIFS($F$2:F464, F464, $P$2:P464, TRUE)&gt;1,TRUE,FALSE)</f>
        <v>0</v>
      </c>
      <c r="P464" t="b">
        <f>OR(ISNUMBER(MATCH(Checklist[[#This Row],[Type]], $B$3:$B$22, 0)), Checklist[[#This Row],[Type]] = "*")</f>
        <v>0</v>
      </c>
    </row>
    <row r="465" spans="4:16" x14ac:dyDescent="0.2">
      <c r="D465" t="s">
        <v>8</v>
      </c>
      <c r="E465" t="s">
        <v>168</v>
      </c>
      <c r="F465" t="s">
        <v>810</v>
      </c>
      <c r="G465" t="s">
        <v>811</v>
      </c>
      <c r="H465" t="s">
        <v>812</v>
      </c>
      <c r="I465" t="s">
        <v>13</v>
      </c>
      <c r="J465" t="s">
        <v>14</v>
      </c>
      <c r="O465" t="b">
        <f>IF(COUNTIFS($F$2:F465, F465, $P$2:P465, TRUE)&gt;1,TRUE,FALSE)</f>
        <v>0</v>
      </c>
      <c r="P465" t="b">
        <f>OR(ISNUMBER(MATCH(Checklist[[#This Row],[Type]], $B$3:$B$22, 0)), Checklist[[#This Row],[Type]] = "*")</f>
        <v>0</v>
      </c>
    </row>
    <row r="466" spans="4:16" x14ac:dyDescent="0.2">
      <c r="D466" t="s">
        <v>8</v>
      </c>
      <c r="E466" t="s">
        <v>169</v>
      </c>
      <c r="F466" t="s">
        <v>404</v>
      </c>
      <c r="G466" t="s">
        <v>405</v>
      </c>
      <c r="H466" t="s">
        <v>406</v>
      </c>
      <c r="I466" t="s">
        <v>13</v>
      </c>
      <c r="J466" t="s">
        <v>14</v>
      </c>
      <c r="O466" t="b">
        <f>IF(COUNTIFS($F$2:F466, F466, $P$2:P466, TRUE)&gt;1,TRUE,FALSE)</f>
        <v>0</v>
      </c>
      <c r="P466" t="b">
        <f>OR(ISNUMBER(MATCH(Checklist[[#This Row],[Type]], $B$3:$B$22, 0)), Checklist[[#This Row],[Type]] = "*")</f>
        <v>0</v>
      </c>
    </row>
    <row r="467" spans="4:16" x14ac:dyDescent="0.2">
      <c r="D467" t="s">
        <v>8</v>
      </c>
      <c r="E467" t="s">
        <v>169</v>
      </c>
      <c r="F467" t="s">
        <v>407</v>
      </c>
      <c r="G467" t="s">
        <v>408</v>
      </c>
      <c r="H467" t="s">
        <v>409</v>
      </c>
      <c r="I467" t="s">
        <v>13</v>
      </c>
      <c r="J467" t="s">
        <v>14</v>
      </c>
      <c r="O467" t="b">
        <f>IF(COUNTIFS($F$2:F467, F467, $P$2:P467, TRUE)&gt;1,TRUE,FALSE)</f>
        <v>0</v>
      </c>
      <c r="P467" t="b">
        <f>OR(ISNUMBER(MATCH(Checklist[[#This Row],[Type]], $B$3:$B$22, 0)), Checklist[[#This Row],[Type]] = "*")</f>
        <v>0</v>
      </c>
    </row>
    <row r="468" spans="4:16" x14ac:dyDescent="0.2">
      <c r="D468" t="s">
        <v>8</v>
      </c>
      <c r="E468" t="s">
        <v>169</v>
      </c>
      <c r="F468" t="s">
        <v>410</v>
      </c>
      <c r="G468" t="s">
        <v>411</v>
      </c>
      <c r="H468" t="s">
        <v>412</v>
      </c>
      <c r="I468" t="s">
        <v>13</v>
      </c>
      <c r="J468" t="s">
        <v>14</v>
      </c>
      <c r="O468" t="b">
        <f>IF(COUNTIFS($F$2:F468, F468, $P$2:P468, TRUE)&gt;1,TRUE,FALSE)</f>
        <v>0</v>
      </c>
      <c r="P468" t="b">
        <f>OR(ISNUMBER(MATCH(Checklist[[#This Row],[Type]], $B$3:$B$22, 0)), Checklist[[#This Row],[Type]] = "*")</f>
        <v>0</v>
      </c>
    </row>
    <row r="469" spans="4:16" x14ac:dyDescent="0.2">
      <c r="D469" t="s">
        <v>8</v>
      </c>
      <c r="E469" t="s">
        <v>169</v>
      </c>
      <c r="F469" t="s">
        <v>416</v>
      </c>
      <c r="G469" t="s">
        <v>417</v>
      </c>
      <c r="H469" t="s">
        <v>418</v>
      </c>
      <c r="I469" t="s">
        <v>13</v>
      </c>
      <c r="J469" t="s">
        <v>14</v>
      </c>
      <c r="O469" t="b">
        <f>IF(COUNTIFS($F$2:F469, F469, $P$2:P469, TRUE)&gt;1,TRUE,FALSE)</f>
        <v>0</v>
      </c>
      <c r="P469" t="b">
        <f>OR(ISNUMBER(MATCH(Checklist[[#This Row],[Type]], $B$3:$B$22, 0)), Checklist[[#This Row],[Type]] = "*")</f>
        <v>0</v>
      </c>
    </row>
    <row r="470" spans="4:16" x14ac:dyDescent="0.2">
      <c r="D470" t="s">
        <v>8</v>
      </c>
      <c r="E470" t="s">
        <v>169</v>
      </c>
      <c r="F470" t="s">
        <v>422</v>
      </c>
      <c r="G470" t="s">
        <v>423</v>
      </c>
      <c r="H470" t="s">
        <v>424</v>
      </c>
      <c r="I470" t="s">
        <v>13</v>
      </c>
      <c r="J470" t="s">
        <v>14</v>
      </c>
      <c r="O470" t="b">
        <f>IF(COUNTIFS($F$2:F470, F470, $P$2:P470, TRUE)&gt;1,TRUE,FALSE)</f>
        <v>0</v>
      </c>
      <c r="P470" t="b">
        <f>OR(ISNUMBER(MATCH(Checklist[[#This Row],[Type]], $B$3:$B$22, 0)), Checklist[[#This Row],[Type]] = "*")</f>
        <v>0</v>
      </c>
    </row>
    <row r="471" spans="4:16" x14ac:dyDescent="0.2">
      <c r="D471" t="s">
        <v>8</v>
      </c>
      <c r="E471" t="s">
        <v>169</v>
      </c>
      <c r="F471" t="s">
        <v>425</v>
      </c>
      <c r="G471" t="s">
        <v>204</v>
      </c>
      <c r="H471" t="s">
        <v>426</v>
      </c>
      <c r="I471" t="s">
        <v>13</v>
      </c>
      <c r="J471" t="s">
        <v>14</v>
      </c>
      <c r="O471" t="b">
        <f>IF(COUNTIFS($F$2:F471, F471, $P$2:P471, TRUE)&gt;1,TRUE,FALSE)</f>
        <v>0</v>
      </c>
      <c r="P471" t="b">
        <f>OR(ISNUMBER(MATCH(Checklist[[#This Row],[Type]], $B$3:$B$22, 0)), Checklist[[#This Row],[Type]] = "*")</f>
        <v>0</v>
      </c>
    </row>
    <row r="472" spans="4:16" x14ac:dyDescent="0.2">
      <c r="D472" t="s">
        <v>8</v>
      </c>
      <c r="E472" t="s">
        <v>169</v>
      </c>
      <c r="F472" t="s">
        <v>427</v>
      </c>
      <c r="G472" t="s">
        <v>133</v>
      </c>
      <c r="H472" t="s">
        <v>428</v>
      </c>
      <c r="I472" t="s">
        <v>13</v>
      </c>
      <c r="J472" t="s">
        <v>14</v>
      </c>
      <c r="O472" t="b">
        <f>IF(COUNTIFS($F$2:F472, F472, $P$2:P472, TRUE)&gt;1,TRUE,FALSE)</f>
        <v>0</v>
      </c>
      <c r="P472" t="b">
        <f>OR(ISNUMBER(MATCH(Checklist[[#This Row],[Type]], $B$3:$B$22, 0)), Checklist[[#This Row],[Type]] = "*")</f>
        <v>0</v>
      </c>
    </row>
    <row r="473" spans="4:16" x14ac:dyDescent="0.2">
      <c r="D473" t="s">
        <v>8</v>
      </c>
      <c r="E473" t="s">
        <v>169</v>
      </c>
      <c r="F473" t="s">
        <v>494</v>
      </c>
      <c r="G473" t="s">
        <v>495</v>
      </c>
      <c r="H473" t="s">
        <v>496</v>
      </c>
      <c r="I473" t="s">
        <v>13</v>
      </c>
      <c r="J473" t="s">
        <v>14</v>
      </c>
      <c r="O473" t="b">
        <f>IF(COUNTIFS($F$2:F473, F473, $P$2:P473, TRUE)&gt;1,TRUE,FALSE)</f>
        <v>0</v>
      </c>
      <c r="P473" t="b">
        <f>OR(ISNUMBER(MATCH(Checklist[[#This Row],[Type]], $B$3:$B$22, 0)), Checklist[[#This Row],[Type]] = "*")</f>
        <v>0</v>
      </c>
    </row>
    <row r="474" spans="4:16" x14ac:dyDescent="0.2">
      <c r="D474" t="s">
        <v>8</v>
      </c>
      <c r="E474" t="s">
        <v>169</v>
      </c>
      <c r="F474" t="s">
        <v>700</v>
      </c>
      <c r="G474" t="s">
        <v>170</v>
      </c>
      <c r="H474" t="s">
        <v>171</v>
      </c>
      <c r="I474" t="s">
        <v>13</v>
      </c>
      <c r="J474" t="s">
        <v>14</v>
      </c>
      <c r="O474" t="b">
        <f>IF(COUNTIFS($F$2:F474, F474, $P$2:P474, TRUE)&gt;1,TRUE,FALSE)</f>
        <v>0</v>
      </c>
      <c r="P474" t="b">
        <f>OR(ISNUMBER(MATCH(Checklist[[#This Row],[Type]], $B$3:$B$22, 0)), Checklist[[#This Row],[Type]] = "*")</f>
        <v>0</v>
      </c>
    </row>
    <row r="475" spans="4:16" x14ac:dyDescent="0.2">
      <c r="D475" t="s">
        <v>8</v>
      </c>
      <c r="E475" t="s">
        <v>172</v>
      </c>
      <c r="F475" t="s">
        <v>606</v>
      </c>
      <c r="G475" t="s">
        <v>411</v>
      </c>
      <c r="H475" t="s">
        <v>412</v>
      </c>
      <c r="I475" t="s">
        <v>13</v>
      </c>
      <c r="J475" t="s">
        <v>14</v>
      </c>
      <c r="O475" t="b">
        <f>IF(COUNTIFS($F$2:F475, F475, $P$2:P475, TRUE)&gt;1,TRUE,FALSE)</f>
        <v>0</v>
      </c>
      <c r="P475" t="b">
        <f>OR(ISNUMBER(MATCH(Checklist[[#This Row],[Type]], $B$3:$B$22, 0)), Checklist[[#This Row],[Type]] = "*")</f>
        <v>0</v>
      </c>
    </row>
    <row r="476" spans="4:16" x14ac:dyDescent="0.2">
      <c r="D476" t="s">
        <v>8</v>
      </c>
      <c r="E476" t="s">
        <v>172</v>
      </c>
      <c r="F476" t="s">
        <v>607</v>
      </c>
      <c r="G476" t="s">
        <v>442</v>
      </c>
      <c r="H476" t="s">
        <v>443</v>
      </c>
      <c r="I476" t="s">
        <v>13</v>
      </c>
      <c r="J476" t="s">
        <v>14</v>
      </c>
      <c r="O476" t="b">
        <f>IF(COUNTIFS($F$2:F476, F476, $P$2:P476, TRUE)&gt;1,TRUE,FALSE)</f>
        <v>0</v>
      </c>
      <c r="P476" t="b">
        <f>OR(ISNUMBER(MATCH(Checklist[[#This Row],[Type]], $B$3:$B$22, 0)), Checklist[[#This Row],[Type]] = "*")</f>
        <v>0</v>
      </c>
    </row>
    <row r="477" spans="4:16" x14ac:dyDescent="0.2">
      <c r="D477" t="s">
        <v>8</v>
      </c>
      <c r="E477" t="s">
        <v>172</v>
      </c>
      <c r="F477" t="s">
        <v>608</v>
      </c>
      <c r="G477" t="s">
        <v>167</v>
      </c>
      <c r="H477" t="s">
        <v>609</v>
      </c>
      <c r="I477" t="s">
        <v>13</v>
      </c>
      <c r="J477" t="s">
        <v>14</v>
      </c>
      <c r="O477" t="b">
        <f>IF(COUNTIFS($F$2:F477, F477, $P$2:P477, TRUE)&gt;1,TRUE,FALSE)</f>
        <v>0</v>
      </c>
      <c r="P477" t="b">
        <f>OR(ISNUMBER(MATCH(Checklist[[#This Row],[Type]], $B$3:$B$22, 0)), Checklist[[#This Row],[Type]] = "*")</f>
        <v>0</v>
      </c>
    </row>
    <row r="478" spans="4:16" x14ac:dyDescent="0.2">
      <c r="D478" t="s">
        <v>8</v>
      </c>
      <c r="E478" t="s">
        <v>172</v>
      </c>
      <c r="F478" t="s">
        <v>610</v>
      </c>
      <c r="G478" t="s">
        <v>611</v>
      </c>
      <c r="H478" t="s">
        <v>612</v>
      </c>
      <c r="I478" t="s">
        <v>13</v>
      </c>
      <c r="J478" t="s">
        <v>14</v>
      </c>
      <c r="O478" t="b">
        <f>IF(COUNTIFS($F$2:F478, F478, $P$2:P478, TRUE)&gt;1,TRUE,FALSE)</f>
        <v>0</v>
      </c>
      <c r="P478" t="b">
        <f>OR(ISNUMBER(MATCH(Checklist[[#This Row],[Type]], $B$3:$B$22, 0)), Checklist[[#This Row],[Type]] = "*")</f>
        <v>0</v>
      </c>
    </row>
    <row r="479" spans="4:16" x14ac:dyDescent="0.2">
      <c r="D479" t="s">
        <v>8</v>
      </c>
      <c r="E479" t="s">
        <v>172</v>
      </c>
      <c r="F479" t="s">
        <v>613</v>
      </c>
      <c r="G479" t="s">
        <v>133</v>
      </c>
      <c r="H479" t="s">
        <v>428</v>
      </c>
      <c r="I479" t="s">
        <v>13</v>
      </c>
      <c r="J479" t="s">
        <v>14</v>
      </c>
      <c r="O479" t="b">
        <f>IF(COUNTIFS($F$2:F479, F479, $P$2:P479, TRUE)&gt;1,TRUE,FALSE)</f>
        <v>0</v>
      </c>
      <c r="P479" t="b">
        <f>OR(ISNUMBER(MATCH(Checklist[[#This Row],[Type]], $B$3:$B$22, 0)), Checklist[[#This Row],[Type]] = "*")</f>
        <v>0</v>
      </c>
    </row>
    <row r="480" spans="4:16" x14ac:dyDescent="0.2">
      <c r="D480" t="s">
        <v>8</v>
      </c>
      <c r="E480" t="s">
        <v>172</v>
      </c>
      <c r="F480" t="s">
        <v>614</v>
      </c>
      <c r="G480" t="s">
        <v>615</v>
      </c>
      <c r="H480" t="s">
        <v>616</v>
      </c>
      <c r="I480" t="s">
        <v>13</v>
      </c>
      <c r="J480" t="s">
        <v>14</v>
      </c>
      <c r="O480" t="b">
        <f>IF(COUNTIFS($F$2:F480, F480, $P$2:P480, TRUE)&gt;1,TRUE,FALSE)</f>
        <v>0</v>
      </c>
      <c r="P480" t="b">
        <f>OR(ISNUMBER(MATCH(Checklist[[#This Row],[Type]], $B$3:$B$22, 0)), Checklist[[#This Row],[Type]] = "*")</f>
        <v>0</v>
      </c>
    </row>
    <row r="481" spans="4:16" x14ac:dyDescent="0.2">
      <c r="D481" t="s">
        <v>8</v>
      </c>
      <c r="E481" t="s">
        <v>172</v>
      </c>
      <c r="F481" t="s">
        <v>701</v>
      </c>
      <c r="G481" t="s">
        <v>702</v>
      </c>
      <c r="H481" t="s">
        <v>703</v>
      </c>
      <c r="I481" t="s">
        <v>13</v>
      </c>
      <c r="J481" t="s">
        <v>14</v>
      </c>
      <c r="O481" t="b">
        <f>IF(COUNTIFS($F$2:F481, F481, $P$2:P481, TRUE)&gt;1,TRUE,FALSE)</f>
        <v>0</v>
      </c>
      <c r="P481" t="b">
        <f>OR(ISNUMBER(MATCH(Checklist[[#This Row],[Type]], $B$3:$B$22, 0)), Checklist[[#This Row],[Type]] = "*")</f>
        <v>0</v>
      </c>
    </row>
    <row r="482" spans="4:16" x14ac:dyDescent="0.2">
      <c r="D482" t="s">
        <v>8</v>
      </c>
      <c r="E482" t="s">
        <v>172</v>
      </c>
      <c r="F482" t="s">
        <v>704</v>
      </c>
      <c r="G482" t="s">
        <v>705</v>
      </c>
      <c r="H482" t="s">
        <v>706</v>
      </c>
      <c r="I482" t="s">
        <v>13</v>
      </c>
      <c r="J482" t="s">
        <v>14</v>
      </c>
      <c r="O482" t="b">
        <f>IF(COUNTIFS($F$2:F482, F482, $P$2:P482, TRUE)&gt;1,TRUE,FALSE)</f>
        <v>0</v>
      </c>
      <c r="P482" t="b">
        <f>OR(ISNUMBER(MATCH(Checklist[[#This Row],[Type]], $B$3:$B$22, 0)), Checklist[[#This Row],[Type]] = "*")</f>
        <v>0</v>
      </c>
    </row>
    <row r="483" spans="4:16" x14ac:dyDescent="0.2">
      <c r="D483" t="s">
        <v>8</v>
      </c>
      <c r="E483" t="s">
        <v>173</v>
      </c>
      <c r="F483" t="s">
        <v>404</v>
      </c>
      <c r="G483" t="s">
        <v>405</v>
      </c>
      <c r="H483" t="s">
        <v>406</v>
      </c>
      <c r="I483" t="s">
        <v>13</v>
      </c>
      <c r="J483" t="s">
        <v>14</v>
      </c>
      <c r="O483" t="b">
        <f>IF(COUNTIFS($F$2:F483, F483, $P$2:P483, TRUE)&gt;1,TRUE,FALSE)</f>
        <v>0</v>
      </c>
      <c r="P483" t="b">
        <f>OR(ISNUMBER(MATCH(Checklist[[#This Row],[Type]], $B$3:$B$22, 0)), Checklist[[#This Row],[Type]] = "*")</f>
        <v>0</v>
      </c>
    </row>
    <row r="484" spans="4:16" x14ac:dyDescent="0.2">
      <c r="D484" t="s">
        <v>8</v>
      </c>
      <c r="E484" t="s">
        <v>173</v>
      </c>
      <c r="F484" t="s">
        <v>407</v>
      </c>
      <c r="G484" t="s">
        <v>408</v>
      </c>
      <c r="H484" t="s">
        <v>409</v>
      </c>
      <c r="I484" t="s">
        <v>13</v>
      </c>
      <c r="J484" t="s">
        <v>14</v>
      </c>
      <c r="O484" t="b">
        <f>IF(COUNTIFS($F$2:F484, F484, $P$2:P484, TRUE)&gt;1,TRUE,FALSE)</f>
        <v>0</v>
      </c>
      <c r="P484" t="b">
        <f>OR(ISNUMBER(MATCH(Checklist[[#This Row],[Type]], $B$3:$B$22, 0)), Checklist[[#This Row],[Type]] = "*")</f>
        <v>0</v>
      </c>
    </row>
    <row r="485" spans="4:16" x14ac:dyDescent="0.2">
      <c r="D485" t="s">
        <v>8</v>
      </c>
      <c r="E485" t="s">
        <v>173</v>
      </c>
      <c r="F485" t="s">
        <v>410</v>
      </c>
      <c r="G485" t="s">
        <v>411</v>
      </c>
      <c r="H485" t="s">
        <v>412</v>
      </c>
      <c r="I485" t="s">
        <v>13</v>
      </c>
      <c r="J485" t="s">
        <v>14</v>
      </c>
      <c r="O485" t="b">
        <f>IF(COUNTIFS($F$2:F485, F485, $P$2:P485, TRUE)&gt;1,TRUE,FALSE)</f>
        <v>0</v>
      </c>
      <c r="P485" t="b">
        <f>OR(ISNUMBER(MATCH(Checklist[[#This Row],[Type]], $B$3:$B$22, 0)), Checklist[[#This Row],[Type]] = "*")</f>
        <v>0</v>
      </c>
    </row>
    <row r="486" spans="4:16" x14ac:dyDescent="0.2">
      <c r="D486" t="s">
        <v>8</v>
      </c>
      <c r="E486" t="s">
        <v>173</v>
      </c>
      <c r="F486" t="s">
        <v>413</v>
      </c>
      <c r="G486" t="s">
        <v>414</v>
      </c>
      <c r="H486" t="s">
        <v>415</v>
      </c>
      <c r="I486" t="s">
        <v>13</v>
      </c>
      <c r="J486" t="s">
        <v>14</v>
      </c>
      <c r="O486" t="b">
        <f>IF(COUNTIFS($F$2:F486, F486, $P$2:P486, TRUE)&gt;1,TRUE,FALSE)</f>
        <v>0</v>
      </c>
      <c r="P486" t="b">
        <f>OR(ISNUMBER(MATCH(Checklist[[#This Row],[Type]], $B$3:$B$22, 0)), Checklist[[#This Row],[Type]] = "*")</f>
        <v>0</v>
      </c>
    </row>
    <row r="487" spans="4:16" x14ac:dyDescent="0.2">
      <c r="D487" t="s">
        <v>8</v>
      </c>
      <c r="E487" t="s">
        <v>173</v>
      </c>
      <c r="F487" t="s">
        <v>416</v>
      </c>
      <c r="G487" t="s">
        <v>417</v>
      </c>
      <c r="H487" t="s">
        <v>418</v>
      </c>
      <c r="I487" t="s">
        <v>13</v>
      </c>
      <c r="J487" t="s">
        <v>14</v>
      </c>
      <c r="O487" t="b">
        <f>IF(COUNTIFS($F$2:F487, F487, $P$2:P487, TRUE)&gt;1,TRUE,FALSE)</f>
        <v>0</v>
      </c>
      <c r="P487" t="b">
        <f>OR(ISNUMBER(MATCH(Checklist[[#This Row],[Type]], $B$3:$B$22, 0)), Checklist[[#This Row],[Type]] = "*")</f>
        <v>0</v>
      </c>
    </row>
    <row r="488" spans="4:16" x14ac:dyDescent="0.2">
      <c r="D488" t="s">
        <v>8</v>
      </c>
      <c r="E488" t="s">
        <v>173</v>
      </c>
      <c r="F488" t="s">
        <v>419</v>
      </c>
      <c r="G488" t="s">
        <v>420</v>
      </c>
      <c r="H488" t="s">
        <v>421</v>
      </c>
      <c r="I488" t="s">
        <v>13</v>
      </c>
      <c r="J488" t="s">
        <v>14</v>
      </c>
      <c r="O488" t="b">
        <f>IF(COUNTIFS($F$2:F488, F488, $P$2:P488, TRUE)&gt;1,TRUE,FALSE)</f>
        <v>0</v>
      </c>
      <c r="P488" t="b">
        <f>OR(ISNUMBER(MATCH(Checklist[[#This Row],[Type]], $B$3:$B$22, 0)), Checklist[[#This Row],[Type]] = "*")</f>
        <v>0</v>
      </c>
    </row>
    <row r="489" spans="4:16" x14ac:dyDescent="0.2">
      <c r="D489" t="s">
        <v>8</v>
      </c>
      <c r="E489" t="s">
        <v>173</v>
      </c>
      <c r="F489" t="s">
        <v>422</v>
      </c>
      <c r="G489" t="s">
        <v>423</v>
      </c>
      <c r="H489" t="s">
        <v>424</v>
      </c>
      <c r="I489" t="s">
        <v>13</v>
      </c>
      <c r="J489" t="s">
        <v>14</v>
      </c>
      <c r="O489" t="b">
        <f>IF(COUNTIFS($F$2:F489, F489, $P$2:P489, TRUE)&gt;1,TRUE,FALSE)</f>
        <v>0</v>
      </c>
      <c r="P489" t="b">
        <f>OR(ISNUMBER(MATCH(Checklist[[#This Row],[Type]], $B$3:$B$22, 0)), Checklist[[#This Row],[Type]] = "*")</f>
        <v>0</v>
      </c>
    </row>
    <row r="490" spans="4:16" x14ac:dyDescent="0.2">
      <c r="D490" t="s">
        <v>8</v>
      </c>
      <c r="E490" t="s">
        <v>173</v>
      </c>
      <c r="F490" t="s">
        <v>425</v>
      </c>
      <c r="G490" t="s">
        <v>204</v>
      </c>
      <c r="H490" t="s">
        <v>426</v>
      </c>
      <c r="I490" t="s">
        <v>13</v>
      </c>
      <c r="J490" t="s">
        <v>14</v>
      </c>
      <c r="O490" t="b">
        <f>IF(COUNTIFS($F$2:F490, F490, $P$2:P490, TRUE)&gt;1,TRUE,FALSE)</f>
        <v>0</v>
      </c>
      <c r="P490" t="b">
        <f>OR(ISNUMBER(MATCH(Checklist[[#This Row],[Type]], $B$3:$B$22, 0)), Checklist[[#This Row],[Type]] = "*")</f>
        <v>0</v>
      </c>
    </row>
    <row r="491" spans="4:16" x14ac:dyDescent="0.2">
      <c r="D491" t="s">
        <v>8</v>
      </c>
      <c r="E491" t="s">
        <v>173</v>
      </c>
      <c r="F491" t="s">
        <v>427</v>
      </c>
      <c r="G491" t="s">
        <v>133</v>
      </c>
      <c r="H491" t="s">
        <v>428</v>
      </c>
      <c r="I491" t="s">
        <v>13</v>
      </c>
      <c r="J491" t="s">
        <v>14</v>
      </c>
      <c r="O491" t="b">
        <f>IF(COUNTIFS($F$2:F491, F491, $P$2:P491, TRUE)&gt;1,TRUE,FALSE)</f>
        <v>0</v>
      </c>
      <c r="P491" t="b">
        <f>OR(ISNUMBER(MATCH(Checklist[[#This Row],[Type]], $B$3:$B$22, 0)), Checklist[[#This Row],[Type]] = "*")</f>
        <v>0</v>
      </c>
    </row>
    <row r="492" spans="4:16" x14ac:dyDescent="0.2">
      <c r="D492" t="s">
        <v>8</v>
      </c>
      <c r="E492" t="s">
        <v>173</v>
      </c>
      <c r="F492" t="s">
        <v>707</v>
      </c>
      <c r="G492" t="s">
        <v>174</v>
      </c>
      <c r="H492" t="s">
        <v>175</v>
      </c>
      <c r="I492" t="s">
        <v>13</v>
      </c>
      <c r="J492" t="s">
        <v>14</v>
      </c>
      <c r="O492" t="b">
        <f>IF(COUNTIFS($F$2:F492, F492, $P$2:P492, TRUE)&gt;1,TRUE,FALSE)</f>
        <v>0</v>
      </c>
      <c r="P492" t="b">
        <f>OR(ISNUMBER(MATCH(Checklist[[#This Row],[Type]], $B$3:$B$22, 0)), Checklist[[#This Row],[Type]] = "*")</f>
        <v>0</v>
      </c>
    </row>
    <row r="493" spans="4:16" x14ac:dyDescent="0.2">
      <c r="D493" t="s">
        <v>8</v>
      </c>
      <c r="E493" t="s">
        <v>176</v>
      </c>
      <c r="F493" t="s">
        <v>606</v>
      </c>
      <c r="G493" t="s">
        <v>411</v>
      </c>
      <c r="H493" t="s">
        <v>412</v>
      </c>
      <c r="I493" t="s">
        <v>13</v>
      </c>
      <c r="J493" t="s">
        <v>14</v>
      </c>
      <c r="O493" t="b">
        <f>IF(COUNTIFS($F$2:F493, F493, $P$2:P493, TRUE)&gt;1,TRUE,FALSE)</f>
        <v>0</v>
      </c>
      <c r="P493" t="b">
        <f>OR(ISNUMBER(MATCH(Checklist[[#This Row],[Type]], $B$3:$B$22, 0)), Checklist[[#This Row],[Type]] = "*")</f>
        <v>0</v>
      </c>
    </row>
    <row r="494" spans="4:16" x14ac:dyDescent="0.2">
      <c r="D494" t="s">
        <v>8</v>
      </c>
      <c r="E494" t="s">
        <v>176</v>
      </c>
      <c r="F494" t="s">
        <v>607</v>
      </c>
      <c r="G494" t="s">
        <v>442</v>
      </c>
      <c r="H494" t="s">
        <v>443</v>
      </c>
      <c r="I494" t="s">
        <v>13</v>
      </c>
      <c r="J494" t="s">
        <v>14</v>
      </c>
      <c r="O494" t="b">
        <f>IF(COUNTIFS($F$2:F494, F494, $P$2:P494, TRUE)&gt;1,TRUE,FALSE)</f>
        <v>0</v>
      </c>
      <c r="P494" t="b">
        <f>OR(ISNUMBER(MATCH(Checklist[[#This Row],[Type]], $B$3:$B$22, 0)), Checklist[[#This Row],[Type]] = "*")</f>
        <v>0</v>
      </c>
    </row>
    <row r="495" spans="4:16" x14ac:dyDescent="0.2">
      <c r="D495" t="s">
        <v>8</v>
      </c>
      <c r="E495" t="s">
        <v>176</v>
      </c>
      <c r="F495" t="s">
        <v>608</v>
      </c>
      <c r="G495" t="s">
        <v>167</v>
      </c>
      <c r="H495" t="s">
        <v>609</v>
      </c>
      <c r="I495" t="s">
        <v>13</v>
      </c>
      <c r="J495" t="s">
        <v>14</v>
      </c>
      <c r="O495" t="b">
        <f>IF(COUNTIFS($F$2:F495, F495, $P$2:P495, TRUE)&gt;1,TRUE,FALSE)</f>
        <v>0</v>
      </c>
      <c r="P495" t="b">
        <f>OR(ISNUMBER(MATCH(Checklist[[#This Row],[Type]], $B$3:$B$22, 0)), Checklist[[#This Row],[Type]] = "*")</f>
        <v>0</v>
      </c>
    </row>
    <row r="496" spans="4:16" x14ac:dyDescent="0.2">
      <c r="D496" t="s">
        <v>8</v>
      </c>
      <c r="E496" t="s">
        <v>176</v>
      </c>
      <c r="F496" t="s">
        <v>610</v>
      </c>
      <c r="G496" t="s">
        <v>611</v>
      </c>
      <c r="H496" t="s">
        <v>612</v>
      </c>
      <c r="I496" t="s">
        <v>13</v>
      </c>
      <c r="J496" t="s">
        <v>14</v>
      </c>
      <c r="O496" t="b">
        <f>IF(COUNTIFS($F$2:F496, F496, $P$2:P496, TRUE)&gt;1,TRUE,FALSE)</f>
        <v>0</v>
      </c>
      <c r="P496" t="b">
        <f>OR(ISNUMBER(MATCH(Checklist[[#This Row],[Type]], $B$3:$B$22, 0)), Checklist[[#This Row],[Type]] = "*")</f>
        <v>0</v>
      </c>
    </row>
    <row r="497" spans="4:16" x14ac:dyDescent="0.2">
      <c r="D497" t="s">
        <v>8</v>
      </c>
      <c r="E497" t="s">
        <v>176</v>
      </c>
      <c r="F497" t="s">
        <v>613</v>
      </c>
      <c r="G497" t="s">
        <v>133</v>
      </c>
      <c r="H497" t="s">
        <v>428</v>
      </c>
      <c r="I497" t="s">
        <v>13</v>
      </c>
      <c r="J497" t="s">
        <v>14</v>
      </c>
      <c r="O497" t="b">
        <f>IF(COUNTIFS($F$2:F497, F497, $P$2:P497, TRUE)&gt;1,TRUE,FALSE)</f>
        <v>0</v>
      </c>
      <c r="P497" t="b">
        <f>OR(ISNUMBER(MATCH(Checklist[[#This Row],[Type]], $B$3:$B$22, 0)), Checklist[[#This Row],[Type]] = "*")</f>
        <v>0</v>
      </c>
    </row>
    <row r="498" spans="4:16" x14ac:dyDescent="0.2">
      <c r="D498" t="s">
        <v>8</v>
      </c>
      <c r="E498" t="s">
        <v>176</v>
      </c>
      <c r="F498" t="s">
        <v>614</v>
      </c>
      <c r="G498" t="s">
        <v>615</v>
      </c>
      <c r="H498" t="s">
        <v>616</v>
      </c>
      <c r="I498" t="s">
        <v>13</v>
      </c>
      <c r="J498" t="s">
        <v>14</v>
      </c>
      <c r="O498" t="b">
        <f>IF(COUNTIFS($F$2:F498, F498, $P$2:P498, TRUE)&gt;1,TRUE,FALSE)</f>
        <v>0</v>
      </c>
      <c r="P498" t="b">
        <f>OR(ISNUMBER(MATCH(Checklist[[#This Row],[Type]], $B$3:$B$22, 0)), Checklist[[#This Row],[Type]] = "*")</f>
        <v>0</v>
      </c>
    </row>
    <row r="499" spans="4:16" x14ac:dyDescent="0.2">
      <c r="D499" t="s">
        <v>8</v>
      </c>
      <c r="E499" t="s">
        <v>176</v>
      </c>
      <c r="F499" t="s">
        <v>708</v>
      </c>
      <c r="G499" t="s">
        <v>162</v>
      </c>
      <c r="H499" t="s">
        <v>177</v>
      </c>
      <c r="I499" t="s">
        <v>13</v>
      </c>
      <c r="J499" t="s">
        <v>14</v>
      </c>
      <c r="O499" t="b">
        <f>IF(COUNTIFS($F$2:F499, F499, $P$2:P499, TRUE)&gt;1,TRUE,FALSE)</f>
        <v>0</v>
      </c>
      <c r="P499" t="b">
        <f>OR(ISNUMBER(MATCH(Checklist[[#This Row],[Type]], $B$3:$B$22, 0)), Checklist[[#This Row],[Type]] = "*")</f>
        <v>0</v>
      </c>
    </row>
    <row r="500" spans="4:16" x14ac:dyDescent="0.2">
      <c r="D500" t="s">
        <v>8</v>
      </c>
      <c r="E500" t="s">
        <v>178</v>
      </c>
      <c r="F500" t="s">
        <v>404</v>
      </c>
      <c r="G500" t="s">
        <v>405</v>
      </c>
      <c r="H500" t="s">
        <v>406</v>
      </c>
      <c r="I500" t="s">
        <v>13</v>
      </c>
      <c r="J500" t="s">
        <v>14</v>
      </c>
      <c r="O500" t="b">
        <f>IF(COUNTIFS($F$2:F500, F500, $P$2:P500, TRUE)&gt;1,TRUE,FALSE)</f>
        <v>0</v>
      </c>
      <c r="P500" t="b">
        <f>OR(ISNUMBER(MATCH(Checklist[[#This Row],[Type]], $B$3:$B$22, 0)), Checklist[[#This Row],[Type]] = "*")</f>
        <v>0</v>
      </c>
    </row>
    <row r="501" spans="4:16" x14ac:dyDescent="0.2">
      <c r="D501" t="s">
        <v>8</v>
      </c>
      <c r="E501" t="s">
        <v>178</v>
      </c>
      <c r="F501" t="s">
        <v>407</v>
      </c>
      <c r="G501" t="s">
        <v>408</v>
      </c>
      <c r="H501" t="s">
        <v>409</v>
      </c>
      <c r="I501" t="s">
        <v>13</v>
      </c>
      <c r="J501" t="s">
        <v>14</v>
      </c>
      <c r="O501" t="b">
        <f>IF(COUNTIFS($F$2:F501, F501, $P$2:P501, TRUE)&gt;1,TRUE,FALSE)</f>
        <v>0</v>
      </c>
      <c r="P501" t="b">
        <f>OR(ISNUMBER(MATCH(Checklist[[#This Row],[Type]], $B$3:$B$22, 0)), Checklist[[#This Row],[Type]] = "*")</f>
        <v>0</v>
      </c>
    </row>
    <row r="502" spans="4:16" x14ac:dyDescent="0.2">
      <c r="D502" t="s">
        <v>8</v>
      </c>
      <c r="E502" t="s">
        <v>178</v>
      </c>
      <c r="F502" t="s">
        <v>410</v>
      </c>
      <c r="G502" t="s">
        <v>411</v>
      </c>
      <c r="H502" t="s">
        <v>412</v>
      </c>
      <c r="I502" t="s">
        <v>13</v>
      </c>
      <c r="J502" t="s">
        <v>14</v>
      </c>
      <c r="O502" t="b">
        <f>IF(COUNTIFS($F$2:F502, F502, $P$2:P502, TRUE)&gt;1,TRUE,FALSE)</f>
        <v>0</v>
      </c>
      <c r="P502" t="b">
        <f>OR(ISNUMBER(MATCH(Checklist[[#This Row],[Type]], $B$3:$B$22, 0)), Checklist[[#This Row],[Type]] = "*")</f>
        <v>0</v>
      </c>
    </row>
    <row r="503" spans="4:16" x14ac:dyDescent="0.2">
      <c r="D503" t="s">
        <v>8</v>
      </c>
      <c r="E503" t="s">
        <v>178</v>
      </c>
      <c r="F503" t="s">
        <v>413</v>
      </c>
      <c r="G503" t="s">
        <v>414</v>
      </c>
      <c r="H503" t="s">
        <v>415</v>
      </c>
      <c r="I503" t="s">
        <v>13</v>
      </c>
      <c r="J503" t="s">
        <v>14</v>
      </c>
      <c r="O503" t="b">
        <f>IF(COUNTIFS($F$2:F503, F503, $P$2:P503, TRUE)&gt;1,TRUE,FALSE)</f>
        <v>0</v>
      </c>
      <c r="P503" t="b">
        <f>OR(ISNUMBER(MATCH(Checklist[[#This Row],[Type]], $B$3:$B$22, 0)), Checklist[[#This Row],[Type]] = "*")</f>
        <v>0</v>
      </c>
    </row>
    <row r="504" spans="4:16" x14ac:dyDescent="0.2">
      <c r="D504" t="s">
        <v>8</v>
      </c>
      <c r="E504" t="s">
        <v>178</v>
      </c>
      <c r="F504" t="s">
        <v>416</v>
      </c>
      <c r="G504" t="s">
        <v>417</v>
      </c>
      <c r="H504" t="s">
        <v>418</v>
      </c>
      <c r="I504" t="s">
        <v>13</v>
      </c>
      <c r="J504" t="s">
        <v>14</v>
      </c>
      <c r="O504" t="b">
        <f>IF(COUNTIFS($F$2:F504, F504, $P$2:P504, TRUE)&gt;1,TRUE,FALSE)</f>
        <v>0</v>
      </c>
      <c r="P504" t="b">
        <f>OR(ISNUMBER(MATCH(Checklist[[#This Row],[Type]], $B$3:$B$22, 0)), Checklist[[#This Row],[Type]] = "*")</f>
        <v>0</v>
      </c>
    </row>
    <row r="505" spans="4:16" x14ac:dyDescent="0.2">
      <c r="D505" t="s">
        <v>8</v>
      </c>
      <c r="E505" t="s">
        <v>179</v>
      </c>
      <c r="F505" t="s">
        <v>488</v>
      </c>
      <c r="G505" t="s">
        <v>442</v>
      </c>
      <c r="H505" t="s">
        <v>443</v>
      </c>
      <c r="I505" t="s">
        <v>13</v>
      </c>
      <c r="J505" t="s">
        <v>14</v>
      </c>
      <c r="O505" t="b">
        <f>IF(COUNTIFS($F$2:F505, F505, $P$2:P505, TRUE)&gt;1,TRUE,FALSE)</f>
        <v>0</v>
      </c>
      <c r="P505" t="b">
        <f>OR(ISNUMBER(MATCH(Checklist[[#This Row],[Type]], $B$3:$B$22, 0)), Checklist[[#This Row],[Type]] = "*")</f>
        <v>0</v>
      </c>
    </row>
    <row r="506" spans="4:16" x14ac:dyDescent="0.2">
      <c r="D506" t="s">
        <v>8</v>
      </c>
      <c r="E506" t="s">
        <v>179</v>
      </c>
      <c r="F506" t="s">
        <v>489</v>
      </c>
      <c r="G506" t="s">
        <v>490</v>
      </c>
      <c r="H506" t="s">
        <v>491</v>
      </c>
      <c r="I506" t="s">
        <v>13</v>
      </c>
      <c r="J506" t="s">
        <v>14</v>
      </c>
      <c r="O506" t="b">
        <f>IF(COUNTIFS($F$2:F506, F506, $P$2:P506, TRUE)&gt;1,TRUE,FALSE)</f>
        <v>0</v>
      </c>
      <c r="P506" t="b">
        <f>OR(ISNUMBER(MATCH(Checklist[[#This Row],[Type]], $B$3:$B$22, 0)), Checklist[[#This Row],[Type]] = "*")</f>
        <v>0</v>
      </c>
    </row>
    <row r="507" spans="4:16" x14ac:dyDescent="0.2">
      <c r="D507" t="s">
        <v>8</v>
      </c>
      <c r="E507" t="s">
        <v>179</v>
      </c>
      <c r="F507" t="s">
        <v>492</v>
      </c>
      <c r="G507" t="s">
        <v>423</v>
      </c>
      <c r="H507" t="s">
        <v>424</v>
      </c>
      <c r="I507" t="s">
        <v>13</v>
      </c>
      <c r="J507" t="s">
        <v>14</v>
      </c>
      <c r="O507" t="b">
        <f>IF(COUNTIFS($F$2:F507, F507, $P$2:P507, TRUE)&gt;1,TRUE,FALSE)</f>
        <v>0</v>
      </c>
      <c r="P507" t="b">
        <f>OR(ISNUMBER(MATCH(Checklist[[#This Row],[Type]], $B$3:$B$22, 0)), Checklist[[#This Row],[Type]] = "*")</f>
        <v>0</v>
      </c>
    </row>
    <row r="508" spans="4:16" x14ac:dyDescent="0.2">
      <c r="D508" t="s">
        <v>8</v>
      </c>
      <c r="E508" t="s">
        <v>179</v>
      </c>
      <c r="F508" t="s">
        <v>493</v>
      </c>
      <c r="G508" t="s">
        <v>204</v>
      </c>
      <c r="H508" t="s">
        <v>426</v>
      </c>
      <c r="I508" t="s">
        <v>13</v>
      </c>
      <c r="J508" t="s">
        <v>14</v>
      </c>
      <c r="O508" t="b">
        <f>IF(COUNTIFS($F$2:F508, F508, $P$2:P508, TRUE)&gt;1,TRUE,FALSE)</f>
        <v>0</v>
      </c>
      <c r="P508" t="b">
        <f>OR(ISNUMBER(MATCH(Checklist[[#This Row],[Type]], $B$3:$B$22, 0)), Checklist[[#This Row],[Type]] = "*")</f>
        <v>0</v>
      </c>
    </row>
    <row r="509" spans="4:16" x14ac:dyDescent="0.2">
      <c r="D509" t="s">
        <v>8</v>
      </c>
      <c r="E509" t="s">
        <v>179</v>
      </c>
      <c r="F509" t="s">
        <v>494</v>
      </c>
      <c r="G509" t="s">
        <v>495</v>
      </c>
      <c r="H509" t="s">
        <v>496</v>
      </c>
      <c r="I509" t="s">
        <v>13</v>
      </c>
      <c r="J509" t="s">
        <v>14</v>
      </c>
      <c r="O509" t="b">
        <f>IF(COUNTIFS($F$2:F509, F509, $P$2:P509, TRUE)&gt;1,TRUE,FALSE)</f>
        <v>0</v>
      </c>
      <c r="P509" t="b">
        <f>OR(ISNUMBER(MATCH(Checklist[[#This Row],[Type]], $B$3:$B$22, 0)), Checklist[[#This Row],[Type]] = "*")</f>
        <v>0</v>
      </c>
    </row>
    <row r="510" spans="4:16" x14ac:dyDescent="0.2">
      <c r="D510" t="s">
        <v>8</v>
      </c>
      <c r="E510" t="s">
        <v>179</v>
      </c>
      <c r="F510" t="s">
        <v>709</v>
      </c>
      <c r="G510" t="s">
        <v>181</v>
      </c>
      <c r="H510" t="s">
        <v>182</v>
      </c>
      <c r="I510" t="s">
        <v>13</v>
      </c>
      <c r="J510" t="s">
        <v>14</v>
      </c>
      <c r="O510" t="b">
        <f>IF(COUNTIFS($F$2:F510, F510, $P$2:P510, TRUE)&gt;1,TRUE,FALSE)</f>
        <v>0</v>
      </c>
      <c r="P510" t="b">
        <f>OR(ISNUMBER(MATCH(Checklist[[#This Row],[Type]], $B$3:$B$22, 0)), Checklist[[#This Row],[Type]] = "*")</f>
        <v>0</v>
      </c>
    </row>
    <row r="511" spans="4:16" x14ac:dyDescent="0.2">
      <c r="D511" t="s">
        <v>8</v>
      </c>
      <c r="E511" t="s">
        <v>179</v>
      </c>
      <c r="F511" t="s">
        <v>710</v>
      </c>
      <c r="G511" t="s">
        <v>56</v>
      </c>
      <c r="H511" t="s">
        <v>57</v>
      </c>
      <c r="I511" t="s">
        <v>13</v>
      </c>
      <c r="J511" t="s">
        <v>14</v>
      </c>
      <c r="O511" t="b">
        <f>IF(COUNTIFS($F$2:F511, F511, $P$2:P511, TRUE)&gt;1,TRUE,FALSE)</f>
        <v>0</v>
      </c>
      <c r="P511" t="b">
        <f>OR(ISNUMBER(MATCH(Checklist[[#This Row],[Type]], $B$3:$B$22, 0)), Checklist[[#This Row],[Type]] = "*")</f>
        <v>0</v>
      </c>
    </row>
    <row r="512" spans="4:16" x14ac:dyDescent="0.2">
      <c r="D512" t="s">
        <v>8</v>
      </c>
      <c r="E512" t="s">
        <v>183</v>
      </c>
      <c r="F512" t="s">
        <v>488</v>
      </c>
      <c r="G512" t="s">
        <v>442</v>
      </c>
      <c r="H512" t="s">
        <v>443</v>
      </c>
      <c r="I512" t="s">
        <v>13</v>
      </c>
      <c r="J512" t="s">
        <v>14</v>
      </c>
      <c r="O512" t="b">
        <f>IF(COUNTIFS($F$2:F512, F512, $P$2:P512, TRUE)&gt;1,TRUE,FALSE)</f>
        <v>0</v>
      </c>
      <c r="P512" t="b">
        <f>OR(ISNUMBER(MATCH(Checklist[[#This Row],[Type]], $B$3:$B$22, 0)), Checklist[[#This Row],[Type]] = "*")</f>
        <v>0</v>
      </c>
    </row>
    <row r="513" spans="4:16" x14ac:dyDescent="0.2">
      <c r="D513" t="s">
        <v>8</v>
      </c>
      <c r="E513" t="s">
        <v>183</v>
      </c>
      <c r="F513" t="s">
        <v>489</v>
      </c>
      <c r="G513" t="s">
        <v>490</v>
      </c>
      <c r="H513" t="s">
        <v>491</v>
      </c>
      <c r="I513" t="s">
        <v>13</v>
      </c>
      <c r="J513" t="s">
        <v>14</v>
      </c>
      <c r="O513" t="b">
        <f>IF(COUNTIFS($F$2:F513, F513, $P$2:P513, TRUE)&gt;1,TRUE,FALSE)</f>
        <v>0</v>
      </c>
      <c r="P513" t="b">
        <f>OR(ISNUMBER(MATCH(Checklist[[#This Row],[Type]], $B$3:$B$22, 0)), Checklist[[#This Row],[Type]] = "*")</f>
        <v>0</v>
      </c>
    </row>
    <row r="514" spans="4:16" x14ac:dyDescent="0.2">
      <c r="D514" t="s">
        <v>8</v>
      </c>
      <c r="E514" t="s">
        <v>183</v>
      </c>
      <c r="F514" t="s">
        <v>492</v>
      </c>
      <c r="G514" t="s">
        <v>423</v>
      </c>
      <c r="H514" t="s">
        <v>424</v>
      </c>
      <c r="I514" t="s">
        <v>13</v>
      </c>
      <c r="J514" t="s">
        <v>14</v>
      </c>
      <c r="O514" t="b">
        <f>IF(COUNTIFS($F$2:F514, F514, $P$2:P514, TRUE)&gt;1,TRUE,FALSE)</f>
        <v>0</v>
      </c>
      <c r="P514" t="b">
        <f>OR(ISNUMBER(MATCH(Checklist[[#This Row],[Type]], $B$3:$B$22, 0)), Checklist[[#This Row],[Type]] = "*")</f>
        <v>0</v>
      </c>
    </row>
    <row r="515" spans="4:16" x14ac:dyDescent="0.2">
      <c r="D515" t="s">
        <v>8</v>
      </c>
      <c r="E515" t="s">
        <v>183</v>
      </c>
      <c r="F515" t="s">
        <v>493</v>
      </c>
      <c r="G515" t="s">
        <v>204</v>
      </c>
      <c r="H515" t="s">
        <v>426</v>
      </c>
      <c r="I515" t="s">
        <v>13</v>
      </c>
      <c r="J515" t="s">
        <v>14</v>
      </c>
      <c r="O515" t="b">
        <f>IF(COUNTIFS($F$2:F515, F515, $P$2:P515, TRUE)&gt;1,TRUE,FALSE)</f>
        <v>0</v>
      </c>
      <c r="P515" t="b">
        <f>OR(ISNUMBER(MATCH(Checklist[[#This Row],[Type]], $B$3:$B$22, 0)), Checklist[[#This Row],[Type]] = "*")</f>
        <v>0</v>
      </c>
    </row>
    <row r="516" spans="4:16" x14ac:dyDescent="0.2">
      <c r="D516" t="s">
        <v>8</v>
      </c>
      <c r="E516" t="s">
        <v>183</v>
      </c>
      <c r="F516" t="s">
        <v>494</v>
      </c>
      <c r="G516" t="s">
        <v>495</v>
      </c>
      <c r="H516" t="s">
        <v>496</v>
      </c>
      <c r="I516" t="s">
        <v>13</v>
      </c>
      <c r="J516" t="s">
        <v>14</v>
      </c>
      <c r="O516" t="b">
        <f>IF(COUNTIFS($F$2:F516, F516, $P$2:P516, TRUE)&gt;1,TRUE,FALSE)</f>
        <v>0</v>
      </c>
      <c r="P516" t="b">
        <f>OR(ISNUMBER(MATCH(Checklist[[#This Row],[Type]], $B$3:$B$22, 0)), Checklist[[#This Row],[Type]] = "*")</f>
        <v>0</v>
      </c>
    </row>
    <row r="517" spans="4:16" x14ac:dyDescent="0.2">
      <c r="D517" t="s">
        <v>8</v>
      </c>
      <c r="E517" t="s">
        <v>184</v>
      </c>
      <c r="F517" t="s">
        <v>606</v>
      </c>
      <c r="G517" t="s">
        <v>411</v>
      </c>
      <c r="H517" t="s">
        <v>412</v>
      </c>
      <c r="I517" t="s">
        <v>13</v>
      </c>
      <c r="J517" t="s">
        <v>14</v>
      </c>
      <c r="O517" t="b">
        <f>IF(COUNTIFS($F$2:F517, F517, $P$2:P517, TRUE)&gt;1,TRUE,FALSE)</f>
        <v>0</v>
      </c>
      <c r="P517" t="b">
        <f>OR(ISNUMBER(MATCH(Checklist[[#This Row],[Type]], $B$3:$B$22, 0)), Checklist[[#This Row],[Type]] = "*")</f>
        <v>0</v>
      </c>
    </row>
    <row r="518" spans="4:16" x14ac:dyDescent="0.2">
      <c r="D518" t="s">
        <v>8</v>
      </c>
      <c r="E518" t="s">
        <v>184</v>
      </c>
      <c r="F518" t="s">
        <v>607</v>
      </c>
      <c r="G518" t="s">
        <v>442</v>
      </c>
      <c r="H518" t="s">
        <v>443</v>
      </c>
      <c r="I518" t="s">
        <v>13</v>
      </c>
      <c r="J518" t="s">
        <v>14</v>
      </c>
      <c r="O518" t="b">
        <f>IF(COUNTIFS($F$2:F518, F518, $P$2:P518, TRUE)&gt;1,TRUE,FALSE)</f>
        <v>0</v>
      </c>
      <c r="P518" t="b">
        <f>OR(ISNUMBER(MATCH(Checklist[[#This Row],[Type]], $B$3:$B$22, 0)), Checklist[[#This Row],[Type]] = "*")</f>
        <v>0</v>
      </c>
    </row>
    <row r="519" spans="4:16" x14ac:dyDescent="0.2">
      <c r="D519" t="s">
        <v>8</v>
      </c>
      <c r="E519" t="s">
        <v>184</v>
      </c>
      <c r="F519" t="s">
        <v>608</v>
      </c>
      <c r="G519" t="s">
        <v>167</v>
      </c>
      <c r="H519" t="s">
        <v>609</v>
      </c>
      <c r="I519" t="s">
        <v>13</v>
      </c>
      <c r="J519" t="s">
        <v>14</v>
      </c>
      <c r="O519" t="b">
        <f>IF(COUNTIFS($F$2:F519, F519, $P$2:P519, TRUE)&gt;1,TRUE,FALSE)</f>
        <v>0</v>
      </c>
      <c r="P519" t="b">
        <f>OR(ISNUMBER(MATCH(Checklist[[#This Row],[Type]], $B$3:$B$22, 0)), Checklist[[#This Row],[Type]] = "*")</f>
        <v>0</v>
      </c>
    </row>
    <row r="520" spans="4:16" x14ac:dyDescent="0.2">
      <c r="D520" t="s">
        <v>8</v>
      </c>
      <c r="E520" t="s">
        <v>184</v>
      </c>
      <c r="F520" t="s">
        <v>613</v>
      </c>
      <c r="G520" t="s">
        <v>133</v>
      </c>
      <c r="H520" t="s">
        <v>428</v>
      </c>
      <c r="I520" t="s">
        <v>13</v>
      </c>
      <c r="J520" t="s">
        <v>14</v>
      </c>
      <c r="O520" t="b">
        <f>IF(COUNTIFS($F$2:F520, F520, $P$2:P520, TRUE)&gt;1,TRUE,FALSE)</f>
        <v>0</v>
      </c>
      <c r="P520" t="b">
        <f>OR(ISNUMBER(MATCH(Checklist[[#This Row],[Type]], $B$3:$B$22, 0)), Checklist[[#This Row],[Type]] = "*")</f>
        <v>0</v>
      </c>
    </row>
    <row r="521" spans="4:16" x14ac:dyDescent="0.2">
      <c r="D521" t="s">
        <v>8</v>
      </c>
      <c r="E521" t="s">
        <v>184</v>
      </c>
      <c r="F521" t="s">
        <v>614</v>
      </c>
      <c r="G521" t="s">
        <v>615</v>
      </c>
      <c r="H521" t="s">
        <v>616</v>
      </c>
      <c r="I521" t="s">
        <v>13</v>
      </c>
      <c r="J521" t="s">
        <v>14</v>
      </c>
      <c r="O521" t="b">
        <f>IF(COUNTIFS($F$2:F521, F521, $P$2:P521, TRUE)&gt;1,TRUE,FALSE)</f>
        <v>0</v>
      </c>
      <c r="P521" t="b">
        <f>OR(ISNUMBER(MATCH(Checklist[[#This Row],[Type]], $B$3:$B$22, 0)), Checklist[[#This Row],[Type]] = "*")</f>
        <v>0</v>
      </c>
    </row>
    <row r="522" spans="4:16" x14ac:dyDescent="0.2">
      <c r="D522" t="s">
        <v>8</v>
      </c>
      <c r="E522" t="s">
        <v>185</v>
      </c>
      <c r="F522" t="s">
        <v>606</v>
      </c>
      <c r="G522" t="s">
        <v>411</v>
      </c>
      <c r="H522" t="s">
        <v>412</v>
      </c>
      <c r="I522" t="s">
        <v>13</v>
      </c>
      <c r="J522" t="s">
        <v>14</v>
      </c>
      <c r="O522" t="b">
        <f>IF(COUNTIFS($F$2:F522, F522, $P$2:P522, TRUE)&gt;1,TRUE,FALSE)</f>
        <v>0</v>
      </c>
      <c r="P522" t="b">
        <f>OR(ISNUMBER(MATCH(Checklist[[#This Row],[Type]], $B$3:$B$22, 0)), Checklist[[#This Row],[Type]] = "*")</f>
        <v>0</v>
      </c>
    </row>
    <row r="523" spans="4:16" x14ac:dyDescent="0.2">
      <c r="D523" t="s">
        <v>8</v>
      </c>
      <c r="E523" t="s">
        <v>185</v>
      </c>
      <c r="F523" t="s">
        <v>607</v>
      </c>
      <c r="G523" t="s">
        <v>442</v>
      </c>
      <c r="H523" t="s">
        <v>443</v>
      </c>
      <c r="I523" t="s">
        <v>13</v>
      </c>
      <c r="J523" t="s">
        <v>14</v>
      </c>
      <c r="O523" t="b">
        <f>IF(COUNTIFS($F$2:F523, F523, $P$2:P523, TRUE)&gt;1,TRUE,FALSE)</f>
        <v>0</v>
      </c>
      <c r="P523" t="b">
        <f>OR(ISNUMBER(MATCH(Checklist[[#This Row],[Type]], $B$3:$B$22, 0)), Checklist[[#This Row],[Type]] = "*")</f>
        <v>0</v>
      </c>
    </row>
    <row r="524" spans="4:16" x14ac:dyDescent="0.2">
      <c r="D524" t="s">
        <v>8</v>
      </c>
      <c r="E524" t="s">
        <v>185</v>
      </c>
      <c r="F524" t="s">
        <v>608</v>
      </c>
      <c r="G524" t="s">
        <v>167</v>
      </c>
      <c r="H524" t="s">
        <v>609</v>
      </c>
      <c r="I524" t="s">
        <v>13</v>
      </c>
      <c r="J524" t="s">
        <v>14</v>
      </c>
      <c r="O524" t="b">
        <f>IF(COUNTIFS($F$2:F524, F524, $P$2:P524, TRUE)&gt;1,TRUE,FALSE)</f>
        <v>0</v>
      </c>
      <c r="P524" t="b">
        <f>OR(ISNUMBER(MATCH(Checklist[[#This Row],[Type]], $B$3:$B$22, 0)), Checklist[[#This Row],[Type]] = "*")</f>
        <v>0</v>
      </c>
    </row>
    <row r="525" spans="4:16" x14ac:dyDescent="0.2">
      <c r="D525" t="s">
        <v>8</v>
      </c>
      <c r="E525" t="s">
        <v>185</v>
      </c>
      <c r="F525" t="s">
        <v>613</v>
      </c>
      <c r="G525" t="s">
        <v>133</v>
      </c>
      <c r="H525" t="s">
        <v>428</v>
      </c>
      <c r="I525" t="s">
        <v>13</v>
      </c>
      <c r="J525" t="s">
        <v>14</v>
      </c>
      <c r="O525" t="b">
        <f>IF(COUNTIFS($F$2:F525, F525, $P$2:P525, TRUE)&gt;1,TRUE,FALSE)</f>
        <v>0</v>
      </c>
      <c r="P525" t="b">
        <f>OR(ISNUMBER(MATCH(Checklist[[#This Row],[Type]], $B$3:$B$22, 0)), Checklist[[#This Row],[Type]] = "*")</f>
        <v>0</v>
      </c>
    </row>
    <row r="526" spans="4:16" x14ac:dyDescent="0.2">
      <c r="D526" t="s">
        <v>8</v>
      </c>
      <c r="E526" t="s">
        <v>185</v>
      </c>
      <c r="F526" t="s">
        <v>614</v>
      </c>
      <c r="G526" t="s">
        <v>615</v>
      </c>
      <c r="H526" t="s">
        <v>616</v>
      </c>
      <c r="I526" t="s">
        <v>13</v>
      </c>
      <c r="J526" t="s">
        <v>14</v>
      </c>
      <c r="O526" t="b">
        <f>IF(COUNTIFS($F$2:F526, F526, $P$2:P526, TRUE)&gt;1,TRUE,FALSE)</f>
        <v>0</v>
      </c>
      <c r="P526" t="b">
        <f>OR(ISNUMBER(MATCH(Checklist[[#This Row],[Type]], $B$3:$B$22, 0)), Checklist[[#This Row],[Type]] = "*")</f>
        <v>0</v>
      </c>
    </row>
    <row r="527" spans="4:16" x14ac:dyDescent="0.2">
      <c r="D527" t="s">
        <v>8</v>
      </c>
      <c r="E527" t="s">
        <v>186</v>
      </c>
      <c r="F527" t="s">
        <v>404</v>
      </c>
      <c r="G527" t="s">
        <v>405</v>
      </c>
      <c r="H527" t="s">
        <v>406</v>
      </c>
      <c r="I527" t="s">
        <v>13</v>
      </c>
      <c r="J527" t="s">
        <v>14</v>
      </c>
      <c r="O527" t="b">
        <f>IF(COUNTIFS($F$2:F527, F527, $P$2:P527, TRUE)&gt;1,TRUE,FALSE)</f>
        <v>0</v>
      </c>
      <c r="P527" t="b">
        <f>OR(ISNUMBER(MATCH(Checklist[[#This Row],[Type]], $B$3:$B$22, 0)), Checklist[[#This Row],[Type]] = "*")</f>
        <v>0</v>
      </c>
    </row>
    <row r="528" spans="4:16" x14ac:dyDescent="0.2">
      <c r="D528" t="s">
        <v>8</v>
      </c>
      <c r="E528" t="s">
        <v>186</v>
      </c>
      <c r="F528" t="s">
        <v>407</v>
      </c>
      <c r="G528" t="s">
        <v>408</v>
      </c>
      <c r="H528" t="s">
        <v>409</v>
      </c>
      <c r="I528" t="s">
        <v>13</v>
      </c>
      <c r="J528" t="s">
        <v>14</v>
      </c>
      <c r="O528" t="b">
        <f>IF(COUNTIFS($F$2:F528, F528, $P$2:P528, TRUE)&gt;1,TRUE,FALSE)</f>
        <v>0</v>
      </c>
      <c r="P528" t="b">
        <f>OR(ISNUMBER(MATCH(Checklist[[#This Row],[Type]], $B$3:$B$22, 0)), Checklist[[#This Row],[Type]] = "*")</f>
        <v>0</v>
      </c>
    </row>
    <row r="529" spans="4:16" x14ac:dyDescent="0.2">
      <c r="D529" t="s">
        <v>8</v>
      </c>
      <c r="E529" t="s">
        <v>186</v>
      </c>
      <c r="F529" t="s">
        <v>410</v>
      </c>
      <c r="G529" t="s">
        <v>411</v>
      </c>
      <c r="H529" t="s">
        <v>412</v>
      </c>
      <c r="I529" t="s">
        <v>13</v>
      </c>
      <c r="J529" t="s">
        <v>14</v>
      </c>
      <c r="O529" t="b">
        <f>IF(COUNTIFS($F$2:F529, F529, $P$2:P529, TRUE)&gt;1,TRUE,FALSE)</f>
        <v>0</v>
      </c>
      <c r="P529" t="b">
        <f>OR(ISNUMBER(MATCH(Checklist[[#This Row],[Type]], $B$3:$B$22, 0)), Checklist[[#This Row],[Type]] = "*")</f>
        <v>0</v>
      </c>
    </row>
    <row r="530" spans="4:16" x14ac:dyDescent="0.2">
      <c r="D530" t="s">
        <v>8</v>
      </c>
      <c r="E530" t="s">
        <v>186</v>
      </c>
      <c r="F530" t="s">
        <v>413</v>
      </c>
      <c r="G530" t="s">
        <v>414</v>
      </c>
      <c r="H530" t="s">
        <v>415</v>
      </c>
      <c r="I530" t="s">
        <v>13</v>
      </c>
      <c r="J530" t="s">
        <v>14</v>
      </c>
      <c r="O530" t="b">
        <f>IF(COUNTIFS($F$2:F530, F530, $P$2:P530, TRUE)&gt;1,TRUE,FALSE)</f>
        <v>0</v>
      </c>
      <c r="P530" t="b">
        <f>OR(ISNUMBER(MATCH(Checklist[[#This Row],[Type]], $B$3:$B$22, 0)), Checklist[[#This Row],[Type]] = "*")</f>
        <v>0</v>
      </c>
    </row>
    <row r="531" spans="4:16" x14ac:dyDescent="0.2">
      <c r="D531" t="s">
        <v>8</v>
      </c>
      <c r="E531" t="s">
        <v>186</v>
      </c>
      <c r="F531" t="s">
        <v>419</v>
      </c>
      <c r="G531" t="s">
        <v>420</v>
      </c>
      <c r="H531" t="s">
        <v>421</v>
      </c>
      <c r="I531" t="s">
        <v>13</v>
      </c>
      <c r="J531" t="s">
        <v>14</v>
      </c>
      <c r="O531" t="b">
        <f>IF(COUNTIFS($F$2:F531, F531, $P$2:P531, TRUE)&gt;1,TRUE,FALSE)</f>
        <v>0</v>
      </c>
      <c r="P531" t="b">
        <f>OR(ISNUMBER(MATCH(Checklist[[#This Row],[Type]], $B$3:$B$22, 0)), Checklist[[#This Row],[Type]] = "*")</f>
        <v>0</v>
      </c>
    </row>
    <row r="532" spans="4:16" x14ac:dyDescent="0.2">
      <c r="D532" t="s">
        <v>8</v>
      </c>
      <c r="E532" t="s">
        <v>186</v>
      </c>
      <c r="F532" t="s">
        <v>422</v>
      </c>
      <c r="G532" t="s">
        <v>423</v>
      </c>
      <c r="H532" t="s">
        <v>424</v>
      </c>
      <c r="I532" t="s">
        <v>13</v>
      </c>
      <c r="J532" t="s">
        <v>14</v>
      </c>
      <c r="O532" t="b">
        <f>IF(COUNTIFS($F$2:F532, F532, $P$2:P532, TRUE)&gt;1,TRUE,FALSE)</f>
        <v>0</v>
      </c>
      <c r="P532" t="b">
        <f>OR(ISNUMBER(MATCH(Checklist[[#This Row],[Type]], $B$3:$B$22, 0)), Checklist[[#This Row],[Type]] = "*")</f>
        <v>0</v>
      </c>
    </row>
    <row r="533" spans="4:16" x14ac:dyDescent="0.2">
      <c r="D533" t="s">
        <v>8</v>
      </c>
      <c r="E533" t="s">
        <v>186</v>
      </c>
      <c r="F533" t="s">
        <v>425</v>
      </c>
      <c r="G533" t="s">
        <v>204</v>
      </c>
      <c r="H533" t="s">
        <v>426</v>
      </c>
      <c r="I533" t="s">
        <v>13</v>
      </c>
      <c r="J533" t="s">
        <v>14</v>
      </c>
      <c r="O533" t="b">
        <f>IF(COUNTIFS($F$2:F533, F533, $P$2:P533, TRUE)&gt;1,TRUE,FALSE)</f>
        <v>0</v>
      </c>
      <c r="P533" t="b">
        <f>OR(ISNUMBER(MATCH(Checklist[[#This Row],[Type]], $B$3:$B$22, 0)), Checklist[[#This Row],[Type]] = "*")</f>
        <v>0</v>
      </c>
    </row>
    <row r="534" spans="4:16" x14ac:dyDescent="0.2">
      <c r="D534" t="s">
        <v>8</v>
      </c>
      <c r="E534" t="s">
        <v>186</v>
      </c>
      <c r="F534" t="s">
        <v>427</v>
      </c>
      <c r="G534" t="s">
        <v>133</v>
      </c>
      <c r="H534" t="s">
        <v>428</v>
      </c>
      <c r="I534" t="s">
        <v>13</v>
      </c>
      <c r="J534" t="s">
        <v>14</v>
      </c>
      <c r="O534" t="b">
        <f>IF(COUNTIFS($F$2:F534, F534, $P$2:P534, TRUE)&gt;1,TRUE,FALSE)</f>
        <v>0</v>
      </c>
      <c r="P534" t="b">
        <f>OR(ISNUMBER(MATCH(Checklist[[#This Row],[Type]], $B$3:$B$22, 0)), Checklist[[#This Row],[Type]] = "*")</f>
        <v>0</v>
      </c>
    </row>
    <row r="535" spans="4:16" x14ac:dyDescent="0.2">
      <c r="D535" t="s">
        <v>8</v>
      </c>
      <c r="E535" t="s">
        <v>186</v>
      </c>
      <c r="F535" t="s">
        <v>711</v>
      </c>
      <c r="G535" t="s">
        <v>445</v>
      </c>
      <c r="H535" t="s">
        <v>446</v>
      </c>
      <c r="I535" t="s">
        <v>13</v>
      </c>
      <c r="J535" t="s">
        <v>14</v>
      </c>
      <c r="O535" t="b">
        <f>IF(COUNTIFS($F$2:F535, F535, $P$2:P535, TRUE)&gt;1,TRUE,FALSE)</f>
        <v>0</v>
      </c>
      <c r="P535" t="b">
        <f>OR(ISNUMBER(MATCH(Checklist[[#This Row],[Type]], $B$3:$B$22, 0)), Checklist[[#This Row],[Type]] = "*")</f>
        <v>0</v>
      </c>
    </row>
    <row r="536" spans="4:16" x14ac:dyDescent="0.2">
      <c r="D536" t="s">
        <v>8</v>
      </c>
      <c r="E536" t="s">
        <v>187</v>
      </c>
      <c r="F536" t="s">
        <v>382</v>
      </c>
      <c r="G536" t="s">
        <v>86</v>
      </c>
      <c r="H536" t="s">
        <v>383</v>
      </c>
      <c r="I536" t="s">
        <v>13</v>
      </c>
      <c r="J536" t="s">
        <v>14</v>
      </c>
      <c r="O536" t="b">
        <f>IF(COUNTIFS($F$2:F536, F536, $P$2:P536, TRUE)&gt;1,TRUE,FALSE)</f>
        <v>0</v>
      </c>
      <c r="P536" t="b">
        <f>OR(ISNUMBER(MATCH(Checklist[[#This Row],[Type]], $B$3:$B$22, 0)), Checklist[[#This Row],[Type]] = "*")</f>
        <v>0</v>
      </c>
    </row>
    <row r="537" spans="4:16" x14ac:dyDescent="0.2">
      <c r="D537" t="s">
        <v>8</v>
      </c>
      <c r="E537" t="s">
        <v>187</v>
      </c>
      <c r="F537" t="s">
        <v>384</v>
      </c>
      <c r="G537" t="s">
        <v>385</v>
      </c>
      <c r="H537" t="s">
        <v>386</v>
      </c>
      <c r="I537" t="s">
        <v>13</v>
      </c>
      <c r="J537" t="s">
        <v>14</v>
      </c>
      <c r="O537" t="b">
        <f>IF(COUNTIFS($F$2:F537, F537, $P$2:P537, TRUE)&gt;1,TRUE,FALSE)</f>
        <v>0</v>
      </c>
      <c r="P537" t="b">
        <f>OR(ISNUMBER(MATCH(Checklist[[#This Row],[Type]], $B$3:$B$22, 0)), Checklist[[#This Row],[Type]] = "*")</f>
        <v>0</v>
      </c>
    </row>
    <row r="538" spans="4:16" x14ac:dyDescent="0.2">
      <c r="D538" t="s">
        <v>8</v>
      </c>
      <c r="E538" t="s">
        <v>187</v>
      </c>
      <c r="F538" t="s">
        <v>387</v>
      </c>
      <c r="G538" t="s">
        <v>388</v>
      </c>
      <c r="H538" t="s">
        <v>389</v>
      </c>
      <c r="I538" t="s">
        <v>13</v>
      </c>
      <c r="J538" t="s">
        <v>14</v>
      </c>
      <c r="O538" t="b">
        <f>IF(COUNTIFS($F$2:F538, F538, $P$2:P538, TRUE)&gt;1,TRUE,FALSE)</f>
        <v>0</v>
      </c>
      <c r="P538" t="b">
        <f>OR(ISNUMBER(MATCH(Checklist[[#This Row],[Type]], $B$3:$B$22, 0)), Checklist[[#This Row],[Type]] = "*")</f>
        <v>0</v>
      </c>
    </row>
    <row r="539" spans="4:16" x14ac:dyDescent="0.2">
      <c r="D539" t="s">
        <v>8</v>
      </c>
      <c r="E539" t="s">
        <v>187</v>
      </c>
      <c r="F539" t="s">
        <v>390</v>
      </c>
      <c r="G539" t="s">
        <v>391</v>
      </c>
      <c r="H539" t="s">
        <v>386</v>
      </c>
      <c r="I539" t="s">
        <v>13</v>
      </c>
      <c r="J539" t="s">
        <v>14</v>
      </c>
      <c r="O539" t="b">
        <f>IF(COUNTIFS($F$2:F539, F539, $P$2:P539, TRUE)&gt;1,TRUE,FALSE)</f>
        <v>0</v>
      </c>
      <c r="P539" t="b">
        <f>OR(ISNUMBER(MATCH(Checklist[[#This Row],[Type]], $B$3:$B$22, 0)), Checklist[[#This Row],[Type]] = "*")</f>
        <v>0</v>
      </c>
    </row>
    <row r="540" spans="4:16" x14ac:dyDescent="0.2">
      <c r="D540" t="s">
        <v>8</v>
      </c>
      <c r="E540" t="s">
        <v>187</v>
      </c>
      <c r="F540" t="s">
        <v>392</v>
      </c>
      <c r="G540" t="s">
        <v>393</v>
      </c>
      <c r="H540" t="s">
        <v>394</v>
      </c>
      <c r="I540" t="s">
        <v>13</v>
      </c>
      <c r="J540" t="s">
        <v>14</v>
      </c>
      <c r="O540" t="b">
        <f>IF(COUNTIFS($F$2:F540, F540, $P$2:P540, TRUE)&gt;1,TRUE,FALSE)</f>
        <v>0</v>
      </c>
      <c r="P540" t="b">
        <f>OR(ISNUMBER(MATCH(Checklist[[#This Row],[Type]], $B$3:$B$22, 0)), Checklist[[#This Row],[Type]] = "*")</f>
        <v>0</v>
      </c>
    </row>
    <row r="541" spans="4:16" x14ac:dyDescent="0.2">
      <c r="D541" t="s">
        <v>8</v>
      </c>
      <c r="E541" t="s">
        <v>187</v>
      </c>
      <c r="F541" t="s">
        <v>395</v>
      </c>
      <c r="G541" t="s">
        <v>161</v>
      </c>
      <c r="H541" t="s">
        <v>396</v>
      </c>
      <c r="I541" t="s">
        <v>13</v>
      </c>
      <c r="J541" t="s">
        <v>14</v>
      </c>
      <c r="O541" t="b">
        <f>IF(COUNTIFS($F$2:F541, F541, $P$2:P541, TRUE)&gt;1,TRUE,FALSE)</f>
        <v>0</v>
      </c>
      <c r="P541" t="b">
        <f>OR(ISNUMBER(MATCH(Checklist[[#This Row],[Type]], $B$3:$B$22, 0)), Checklist[[#This Row],[Type]] = "*")</f>
        <v>0</v>
      </c>
    </row>
    <row r="542" spans="4:16" x14ac:dyDescent="0.2">
      <c r="D542" t="s">
        <v>8</v>
      </c>
      <c r="E542" t="s">
        <v>187</v>
      </c>
      <c r="F542" t="s">
        <v>397</v>
      </c>
      <c r="G542" t="s">
        <v>398</v>
      </c>
      <c r="H542" t="s">
        <v>399</v>
      </c>
      <c r="I542" t="s">
        <v>13</v>
      </c>
      <c r="J542" t="s">
        <v>14</v>
      </c>
      <c r="O542" t="b">
        <f>IF(COUNTIFS($F$2:F542, F542, $P$2:P542, TRUE)&gt;1,TRUE,FALSE)</f>
        <v>0</v>
      </c>
      <c r="P542" t="b">
        <f>OR(ISNUMBER(MATCH(Checklist[[#This Row],[Type]], $B$3:$B$22, 0)), Checklist[[#This Row],[Type]] = "*")</f>
        <v>0</v>
      </c>
    </row>
    <row r="543" spans="4:16" x14ac:dyDescent="0.2">
      <c r="D543" t="s">
        <v>8</v>
      </c>
      <c r="E543" t="s">
        <v>187</v>
      </c>
      <c r="F543" t="s">
        <v>400</v>
      </c>
      <c r="G543" t="s">
        <v>401</v>
      </c>
      <c r="H543" t="s">
        <v>402</v>
      </c>
      <c r="I543" t="s">
        <v>13</v>
      </c>
      <c r="J543" t="s">
        <v>14</v>
      </c>
      <c r="O543" t="b">
        <f>IF(COUNTIFS($F$2:F543, F543, $P$2:P543, TRUE)&gt;1,TRUE,FALSE)</f>
        <v>0</v>
      </c>
      <c r="P543" t="b">
        <f>OR(ISNUMBER(MATCH(Checklist[[#This Row],[Type]], $B$3:$B$22, 0)), Checklist[[#This Row],[Type]] = "*")</f>
        <v>0</v>
      </c>
    </row>
    <row r="544" spans="4:16" x14ac:dyDescent="0.2">
      <c r="D544" t="s">
        <v>8</v>
      </c>
      <c r="E544" t="s">
        <v>187</v>
      </c>
      <c r="F544" t="s">
        <v>829</v>
      </c>
      <c r="G544" t="s">
        <v>589</v>
      </c>
      <c r="H544" t="s">
        <v>590</v>
      </c>
      <c r="I544" t="s">
        <v>13</v>
      </c>
      <c r="J544" t="s">
        <v>14</v>
      </c>
      <c r="O544" t="b">
        <f>IF(COUNTIFS($F$2:F544, F544, $P$2:P544, TRUE)&gt;1,TRUE,FALSE)</f>
        <v>0</v>
      </c>
      <c r="P544" t="b">
        <f>OR(ISNUMBER(MATCH(Checklist[[#This Row],[Type]], $B$3:$B$22, 0)), Checklist[[#This Row],[Type]] = "*")</f>
        <v>0</v>
      </c>
    </row>
    <row r="545" spans="4:16" x14ac:dyDescent="0.2">
      <c r="D545" t="s">
        <v>8</v>
      </c>
      <c r="E545" t="s">
        <v>187</v>
      </c>
      <c r="F545" t="s">
        <v>830</v>
      </c>
      <c r="G545" t="s">
        <v>831</v>
      </c>
      <c r="H545" t="s">
        <v>832</v>
      </c>
      <c r="I545" t="s">
        <v>13</v>
      </c>
      <c r="J545" t="s">
        <v>14</v>
      </c>
      <c r="O545" t="b">
        <f>IF(COUNTIFS($F$2:F545, F545, $P$2:P545, TRUE)&gt;1,TRUE,FALSE)</f>
        <v>0</v>
      </c>
      <c r="P545" t="b">
        <f>OR(ISNUMBER(MATCH(Checklist[[#This Row],[Type]], $B$3:$B$22, 0)), Checklist[[#This Row],[Type]] = "*")</f>
        <v>0</v>
      </c>
    </row>
    <row r="546" spans="4:16" x14ac:dyDescent="0.2">
      <c r="D546" t="s">
        <v>8</v>
      </c>
      <c r="E546" t="s">
        <v>187</v>
      </c>
      <c r="F546" t="s">
        <v>403</v>
      </c>
      <c r="G546" t="s">
        <v>56</v>
      </c>
      <c r="H546" t="s">
        <v>57</v>
      </c>
      <c r="I546" t="s">
        <v>13</v>
      </c>
      <c r="J546" t="s">
        <v>14</v>
      </c>
      <c r="O546" t="b">
        <f>IF(COUNTIFS($F$2:F546, F546, $P$2:P546, TRUE)&gt;1,TRUE,FALSE)</f>
        <v>0</v>
      </c>
      <c r="P546" t="b">
        <f>OR(ISNUMBER(MATCH(Checklist[[#This Row],[Type]], $B$3:$B$22, 0)), Checklist[[#This Row],[Type]] = "*")</f>
        <v>0</v>
      </c>
    </row>
    <row r="547" spans="4:16" x14ac:dyDescent="0.2">
      <c r="D547" t="s">
        <v>8</v>
      </c>
      <c r="E547" t="s">
        <v>187</v>
      </c>
      <c r="F547" t="s">
        <v>712</v>
      </c>
      <c r="G547" t="s">
        <v>713</v>
      </c>
      <c r="H547" t="s">
        <v>714</v>
      </c>
      <c r="I547" t="s">
        <v>13</v>
      </c>
      <c r="J547" t="s">
        <v>14</v>
      </c>
      <c r="O547" t="b">
        <f>IF(COUNTIFS($F$2:F547, F547, $P$2:P547, TRUE)&gt;1,TRUE,FALSE)</f>
        <v>0</v>
      </c>
      <c r="P547" t="b">
        <f>OR(ISNUMBER(MATCH(Checklist[[#This Row],[Type]], $B$3:$B$22, 0)), Checklist[[#This Row],[Type]] = "*")</f>
        <v>0</v>
      </c>
    </row>
    <row r="548" spans="4:16" x14ac:dyDescent="0.2">
      <c r="D548" t="s">
        <v>8</v>
      </c>
      <c r="E548" t="s">
        <v>189</v>
      </c>
      <c r="F548" t="s">
        <v>852</v>
      </c>
      <c r="G548" t="s">
        <v>411</v>
      </c>
      <c r="H548" t="s">
        <v>412</v>
      </c>
      <c r="I548" t="s">
        <v>13</v>
      </c>
      <c r="J548" t="s">
        <v>14</v>
      </c>
      <c r="O548" t="b">
        <f>IF(COUNTIFS($F$2:F548, F548, $P$2:P548, TRUE)&gt;1,TRUE,FALSE)</f>
        <v>0</v>
      </c>
      <c r="P548" t="b">
        <f>OR(ISNUMBER(MATCH(Checklist[[#This Row],[Type]], $B$3:$B$22, 0)), Checklist[[#This Row],[Type]] = "*")</f>
        <v>0</v>
      </c>
    </row>
    <row r="549" spans="4:16" x14ac:dyDescent="0.2">
      <c r="D549" t="s">
        <v>8</v>
      </c>
      <c r="E549" t="s">
        <v>189</v>
      </c>
      <c r="F549" t="s">
        <v>853</v>
      </c>
      <c r="G549" t="s">
        <v>414</v>
      </c>
      <c r="H549" t="s">
        <v>415</v>
      </c>
      <c r="I549" t="s">
        <v>13</v>
      </c>
      <c r="J549" t="s">
        <v>14</v>
      </c>
      <c r="O549" t="b">
        <f>IF(COUNTIFS($F$2:F549, F549, $P$2:P549, TRUE)&gt;1,TRUE,FALSE)</f>
        <v>0</v>
      </c>
      <c r="P549" t="b">
        <f>OR(ISNUMBER(MATCH(Checklist[[#This Row],[Type]], $B$3:$B$22, 0)), Checklist[[#This Row],[Type]] = "*")</f>
        <v>0</v>
      </c>
    </row>
    <row r="550" spans="4:16" x14ac:dyDescent="0.2">
      <c r="D550" t="s">
        <v>8</v>
      </c>
      <c r="E550" t="s">
        <v>189</v>
      </c>
      <c r="F550" t="s">
        <v>715</v>
      </c>
      <c r="G550" t="s">
        <v>716</v>
      </c>
      <c r="H550" t="s">
        <v>717</v>
      </c>
      <c r="I550" t="s">
        <v>13</v>
      </c>
      <c r="J550" t="s">
        <v>14</v>
      </c>
      <c r="O550" t="b">
        <f>IF(COUNTIFS($F$2:F550, F550, $P$2:P550, TRUE)&gt;1,TRUE,FALSE)</f>
        <v>0</v>
      </c>
      <c r="P550" t="b">
        <f>OR(ISNUMBER(MATCH(Checklist[[#This Row],[Type]], $B$3:$B$22, 0)), Checklist[[#This Row],[Type]] = "*")</f>
        <v>0</v>
      </c>
    </row>
    <row r="551" spans="4:16" x14ac:dyDescent="0.2">
      <c r="D551" t="s">
        <v>8</v>
      </c>
      <c r="E551" t="s">
        <v>189</v>
      </c>
      <c r="F551" t="s">
        <v>718</v>
      </c>
      <c r="G551" t="s">
        <v>689</v>
      </c>
      <c r="H551" t="s">
        <v>861</v>
      </c>
      <c r="I551" t="s">
        <v>13</v>
      </c>
      <c r="J551" t="s">
        <v>14</v>
      </c>
      <c r="O551" t="b">
        <f>IF(COUNTIFS($F$2:F551, F551, $P$2:P551, TRUE)&gt;1,TRUE,FALSE)</f>
        <v>0</v>
      </c>
      <c r="P551" t="b">
        <f>OR(ISNUMBER(MATCH(Checklist[[#This Row],[Type]], $B$3:$B$22, 0)), Checklist[[#This Row],[Type]] = "*")</f>
        <v>0</v>
      </c>
    </row>
    <row r="552" spans="4:16" x14ac:dyDescent="0.2">
      <c r="D552" t="s">
        <v>8</v>
      </c>
      <c r="E552" t="s">
        <v>189</v>
      </c>
      <c r="F552" t="s">
        <v>720</v>
      </c>
      <c r="G552" t="s">
        <v>859</v>
      </c>
      <c r="H552" t="s">
        <v>860</v>
      </c>
      <c r="I552" t="s">
        <v>13</v>
      </c>
      <c r="J552" t="s">
        <v>14</v>
      </c>
      <c r="O552" t="b">
        <f>IF(COUNTIFS($F$2:F552, F552, $P$2:P552, TRUE)&gt;1,TRUE,FALSE)</f>
        <v>0</v>
      </c>
      <c r="P552" t="b">
        <f>OR(ISNUMBER(MATCH(Checklist[[#This Row],[Type]], $B$3:$B$22, 0)), Checklist[[#This Row],[Type]] = "*")</f>
        <v>0</v>
      </c>
    </row>
    <row r="553" spans="4:16" x14ac:dyDescent="0.2">
      <c r="D553" t="s">
        <v>8</v>
      </c>
      <c r="E553" t="s">
        <v>189</v>
      </c>
      <c r="F553" t="s">
        <v>724</v>
      </c>
      <c r="G553" t="s">
        <v>862</v>
      </c>
      <c r="H553" t="s">
        <v>721</v>
      </c>
      <c r="I553" t="s">
        <v>13</v>
      </c>
      <c r="J553" t="s">
        <v>14</v>
      </c>
      <c r="O553" t="b">
        <f>IF(COUNTIFS($F$2:F553, F553, $P$2:P553, TRUE)&gt;1,TRUE,FALSE)</f>
        <v>0</v>
      </c>
      <c r="P553" t="b">
        <f>OR(ISNUMBER(MATCH(Checklist[[#This Row],[Type]], $B$3:$B$22, 0)), Checklist[[#This Row],[Type]] = "*")</f>
        <v>0</v>
      </c>
    </row>
    <row r="554" spans="4:16" x14ac:dyDescent="0.2">
      <c r="D554" t="s">
        <v>8</v>
      </c>
      <c r="E554" t="s">
        <v>189</v>
      </c>
      <c r="F554" t="s">
        <v>863</v>
      </c>
      <c r="G554" t="s">
        <v>722</v>
      </c>
      <c r="H554" t="s">
        <v>723</v>
      </c>
      <c r="I554" t="s">
        <v>13</v>
      </c>
      <c r="J554" t="s">
        <v>14</v>
      </c>
      <c r="O554" t="b">
        <f>IF(COUNTIFS($F$2:F554, F554, $P$2:P554, TRUE)&gt;1,TRUE,FALSE)</f>
        <v>0</v>
      </c>
      <c r="P554" t="b">
        <f>OR(ISNUMBER(MATCH(Checklist[[#This Row],[Type]], $B$3:$B$22, 0)), Checklist[[#This Row],[Type]] = "*")</f>
        <v>0</v>
      </c>
    </row>
    <row r="555" spans="4:16" x14ac:dyDescent="0.2">
      <c r="D555" t="s">
        <v>8</v>
      </c>
      <c r="E555" t="s">
        <v>190</v>
      </c>
      <c r="F555" t="s">
        <v>606</v>
      </c>
      <c r="G555" t="s">
        <v>411</v>
      </c>
      <c r="H555" t="s">
        <v>412</v>
      </c>
      <c r="I555" t="s">
        <v>13</v>
      </c>
      <c r="J555" t="s">
        <v>14</v>
      </c>
      <c r="O555" t="b">
        <f>IF(COUNTIFS($F$2:F555, F555, $P$2:P555, TRUE)&gt;1,TRUE,FALSE)</f>
        <v>0</v>
      </c>
      <c r="P555" t="b">
        <f>OR(ISNUMBER(MATCH(Checklist[[#This Row],[Type]], $B$3:$B$22, 0)), Checklist[[#This Row],[Type]] = "*")</f>
        <v>0</v>
      </c>
    </row>
    <row r="556" spans="4:16" x14ac:dyDescent="0.2">
      <c r="D556" t="s">
        <v>8</v>
      </c>
      <c r="E556" t="s">
        <v>190</v>
      </c>
      <c r="F556" t="s">
        <v>607</v>
      </c>
      <c r="G556" t="s">
        <v>442</v>
      </c>
      <c r="H556" t="s">
        <v>443</v>
      </c>
      <c r="I556" t="s">
        <v>13</v>
      </c>
      <c r="J556" t="s">
        <v>14</v>
      </c>
      <c r="O556" t="b">
        <f>IF(COUNTIFS($F$2:F556, F556, $P$2:P556, TRUE)&gt;1,TRUE,FALSE)</f>
        <v>0</v>
      </c>
      <c r="P556" t="b">
        <f>OR(ISNUMBER(MATCH(Checklist[[#This Row],[Type]], $B$3:$B$22, 0)), Checklist[[#This Row],[Type]] = "*")</f>
        <v>0</v>
      </c>
    </row>
    <row r="557" spans="4:16" x14ac:dyDescent="0.2">
      <c r="D557" t="s">
        <v>8</v>
      </c>
      <c r="E557" t="s">
        <v>190</v>
      </c>
      <c r="F557" t="s">
        <v>608</v>
      </c>
      <c r="G557" t="s">
        <v>167</v>
      </c>
      <c r="H557" t="s">
        <v>609</v>
      </c>
      <c r="I557" t="s">
        <v>13</v>
      </c>
      <c r="J557" t="s">
        <v>14</v>
      </c>
      <c r="O557" t="b">
        <f>IF(COUNTIFS($F$2:F557, F557, $P$2:P557, TRUE)&gt;1,TRUE,FALSE)</f>
        <v>0</v>
      </c>
      <c r="P557" t="b">
        <f>OR(ISNUMBER(MATCH(Checklist[[#This Row],[Type]], $B$3:$B$22, 0)), Checklist[[#This Row],[Type]] = "*")</f>
        <v>0</v>
      </c>
    </row>
    <row r="558" spans="4:16" x14ac:dyDescent="0.2">
      <c r="D558" t="s">
        <v>8</v>
      </c>
      <c r="E558" t="s">
        <v>190</v>
      </c>
      <c r="F558" t="s">
        <v>725</v>
      </c>
      <c r="G558" t="s">
        <v>716</v>
      </c>
      <c r="H558" t="s">
        <v>717</v>
      </c>
      <c r="I558" t="s">
        <v>13</v>
      </c>
      <c r="J558" t="s">
        <v>14</v>
      </c>
      <c r="O558" t="b">
        <f>IF(COUNTIFS($F$2:F558, F558, $P$2:P558, TRUE)&gt;1,TRUE,FALSE)</f>
        <v>0</v>
      </c>
      <c r="P558" t="b">
        <f>OR(ISNUMBER(MATCH(Checklist[[#This Row],[Type]], $B$3:$B$22, 0)), Checklist[[#This Row],[Type]] = "*")</f>
        <v>0</v>
      </c>
    </row>
    <row r="559" spans="4:16" x14ac:dyDescent="0.2">
      <c r="D559" t="s">
        <v>8</v>
      </c>
      <c r="E559" t="s">
        <v>190</v>
      </c>
      <c r="F559" t="s">
        <v>726</v>
      </c>
      <c r="G559" t="s">
        <v>439</v>
      </c>
      <c r="H559" t="s">
        <v>719</v>
      </c>
      <c r="I559" t="s">
        <v>13</v>
      </c>
      <c r="J559" t="s">
        <v>14</v>
      </c>
      <c r="O559" t="b">
        <f>IF(COUNTIFS($F$2:F559, F559, $P$2:P559, TRUE)&gt;1,TRUE,FALSE)</f>
        <v>0</v>
      </c>
      <c r="P559" t="b">
        <f>OR(ISNUMBER(MATCH(Checklist[[#This Row],[Type]], $B$3:$B$22, 0)), Checklist[[#This Row],[Type]] = "*")</f>
        <v>0</v>
      </c>
    </row>
    <row r="560" spans="4:16" x14ac:dyDescent="0.2">
      <c r="D560" t="s">
        <v>8</v>
      </c>
      <c r="E560" t="s">
        <v>191</v>
      </c>
      <c r="F560" t="s">
        <v>404</v>
      </c>
      <c r="G560" t="s">
        <v>405</v>
      </c>
      <c r="H560" t="s">
        <v>406</v>
      </c>
      <c r="I560" t="s">
        <v>13</v>
      </c>
      <c r="J560" t="s">
        <v>14</v>
      </c>
      <c r="O560" t="b">
        <f>IF(COUNTIFS($F$2:F560, F560, $P$2:P560, TRUE)&gt;1,TRUE,FALSE)</f>
        <v>0</v>
      </c>
      <c r="P560" t="b">
        <f>OR(ISNUMBER(MATCH(Checklist[[#This Row],[Type]], $B$3:$B$22, 0)), Checklist[[#This Row],[Type]] = "*")</f>
        <v>0</v>
      </c>
    </row>
    <row r="561" spans="4:16" x14ac:dyDescent="0.2">
      <c r="D561" t="s">
        <v>8</v>
      </c>
      <c r="E561" t="s">
        <v>191</v>
      </c>
      <c r="F561" t="s">
        <v>407</v>
      </c>
      <c r="G561" t="s">
        <v>408</v>
      </c>
      <c r="H561" t="s">
        <v>409</v>
      </c>
      <c r="I561" t="s">
        <v>13</v>
      </c>
      <c r="J561" t="s">
        <v>14</v>
      </c>
      <c r="O561" t="b">
        <f>IF(COUNTIFS($F$2:F561, F561, $P$2:P561, TRUE)&gt;1,TRUE,FALSE)</f>
        <v>0</v>
      </c>
      <c r="P561" t="b">
        <f>OR(ISNUMBER(MATCH(Checklist[[#This Row],[Type]], $B$3:$B$22, 0)), Checklist[[#This Row],[Type]] = "*")</f>
        <v>0</v>
      </c>
    </row>
    <row r="562" spans="4:16" x14ac:dyDescent="0.2">
      <c r="D562" t="s">
        <v>8</v>
      </c>
      <c r="E562" t="s">
        <v>191</v>
      </c>
      <c r="F562" t="s">
        <v>410</v>
      </c>
      <c r="G562" t="s">
        <v>411</v>
      </c>
      <c r="H562" t="s">
        <v>412</v>
      </c>
      <c r="I562" t="s">
        <v>13</v>
      </c>
      <c r="J562" t="s">
        <v>14</v>
      </c>
      <c r="O562" t="b">
        <f>IF(COUNTIFS($F$2:F562, F562, $P$2:P562, TRUE)&gt;1,TRUE,FALSE)</f>
        <v>0</v>
      </c>
      <c r="P562" t="b">
        <f>OR(ISNUMBER(MATCH(Checklist[[#This Row],[Type]], $B$3:$B$22, 0)), Checklist[[#This Row],[Type]] = "*")</f>
        <v>0</v>
      </c>
    </row>
    <row r="563" spans="4:16" x14ac:dyDescent="0.2">
      <c r="D563" t="s">
        <v>8</v>
      </c>
      <c r="E563" t="s">
        <v>191</v>
      </c>
      <c r="F563" t="s">
        <v>413</v>
      </c>
      <c r="G563" t="s">
        <v>414</v>
      </c>
      <c r="H563" t="s">
        <v>415</v>
      </c>
      <c r="I563" t="s">
        <v>13</v>
      </c>
      <c r="J563" t="s">
        <v>14</v>
      </c>
      <c r="O563" t="b">
        <f>IF(COUNTIFS($F$2:F563, F563, $P$2:P563, TRUE)&gt;1,TRUE,FALSE)</f>
        <v>0</v>
      </c>
      <c r="P563" t="b">
        <f>OR(ISNUMBER(MATCH(Checklist[[#This Row],[Type]], $B$3:$B$22, 0)), Checklist[[#This Row],[Type]] = "*")</f>
        <v>0</v>
      </c>
    </row>
    <row r="564" spans="4:16" x14ac:dyDescent="0.2">
      <c r="D564" t="s">
        <v>8</v>
      </c>
      <c r="E564" t="s">
        <v>191</v>
      </c>
      <c r="F564" t="s">
        <v>416</v>
      </c>
      <c r="G564" t="s">
        <v>417</v>
      </c>
      <c r="H564" t="s">
        <v>418</v>
      </c>
      <c r="I564" t="s">
        <v>13</v>
      </c>
      <c r="J564" t="s">
        <v>14</v>
      </c>
      <c r="O564" t="b">
        <f>IF(COUNTIFS($F$2:F564, F564, $P$2:P564, TRUE)&gt;1,TRUE,FALSE)</f>
        <v>0</v>
      </c>
      <c r="P564" t="b">
        <f>OR(ISNUMBER(MATCH(Checklist[[#This Row],[Type]], $B$3:$B$22, 0)), Checklist[[#This Row],[Type]] = "*")</f>
        <v>0</v>
      </c>
    </row>
    <row r="565" spans="4:16" x14ac:dyDescent="0.2">
      <c r="D565" t="s">
        <v>8</v>
      </c>
      <c r="E565" t="s">
        <v>191</v>
      </c>
      <c r="F565" t="s">
        <v>419</v>
      </c>
      <c r="G565" t="s">
        <v>420</v>
      </c>
      <c r="H565" t="s">
        <v>421</v>
      </c>
      <c r="I565" t="s">
        <v>13</v>
      </c>
      <c r="J565" t="s">
        <v>14</v>
      </c>
      <c r="O565" t="b">
        <f>IF(COUNTIFS($F$2:F565, F565, $P$2:P565, TRUE)&gt;1,TRUE,FALSE)</f>
        <v>0</v>
      </c>
      <c r="P565" t="b">
        <f>OR(ISNUMBER(MATCH(Checklist[[#This Row],[Type]], $B$3:$B$22, 0)), Checklist[[#This Row],[Type]] = "*")</f>
        <v>0</v>
      </c>
    </row>
    <row r="566" spans="4:16" x14ac:dyDescent="0.2">
      <c r="D566" t="s">
        <v>8</v>
      </c>
      <c r="E566" t="s">
        <v>191</v>
      </c>
      <c r="F566" t="s">
        <v>422</v>
      </c>
      <c r="G566" t="s">
        <v>423</v>
      </c>
      <c r="H566" t="s">
        <v>424</v>
      </c>
      <c r="I566" t="s">
        <v>13</v>
      </c>
      <c r="J566" t="s">
        <v>14</v>
      </c>
      <c r="O566" t="b">
        <f>IF(COUNTIFS($F$2:F566, F566, $P$2:P566, TRUE)&gt;1,TRUE,FALSE)</f>
        <v>0</v>
      </c>
      <c r="P566" t="b">
        <f>OR(ISNUMBER(MATCH(Checklist[[#This Row],[Type]], $B$3:$B$22, 0)), Checklist[[#This Row],[Type]] = "*")</f>
        <v>0</v>
      </c>
    </row>
    <row r="567" spans="4:16" x14ac:dyDescent="0.2">
      <c r="D567" t="s">
        <v>8</v>
      </c>
      <c r="E567" t="s">
        <v>191</v>
      </c>
      <c r="F567" t="s">
        <v>425</v>
      </c>
      <c r="G567" t="s">
        <v>204</v>
      </c>
      <c r="H567" t="s">
        <v>426</v>
      </c>
      <c r="I567" t="s">
        <v>13</v>
      </c>
      <c r="J567" t="s">
        <v>14</v>
      </c>
      <c r="O567" t="b">
        <f>IF(COUNTIFS($F$2:F567, F567, $P$2:P567, TRUE)&gt;1,TRUE,FALSE)</f>
        <v>0</v>
      </c>
      <c r="P567" t="b">
        <f>OR(ISNUMBER(MATCH(Checklist[[#This Row],[Type]], $B$3:$B$22, 0)), Checklist[[#This Row],[Type]] = "*")</f>
        <v>0</v>
      </c>
    </row>
    <row r="568" spans="4:16" x14ac:dyDescent="0.2">
      <c r="D568" t="s">
        <v>8</v>
      </c>
      <c r="E568" t="s">
        <v>191</v>
      </c>
      <c r="F568" t="s">
        <v>427</v>
      </c>
      <c r="G568" t="s">
        <v>133</v>
      </c>
      <c r="H568" t="s">
        <v>428</v>
      </c>
      <c r="I568" t="s">
        <v>13</v>
      </c>
      <c r="J568" t="s">
        <v>14</v>
      </c>
      <c r="O568" t="b">
        <f>IF(COUNTIFS($F$2:F568, F568, $P$2:P568, TRUE)&gt;1,TRUE,FALSE)</f>
        <v>0</v>
      </c>
      <c r="P568" t="b">
        <f>OR(ISNUMBER(MATCH(Checklist[[#This Row],[Type]], $B$3:$B$22, 0)), Checklist[[#This Row],[Type]] = "*")</f>
        <v>0</v>
      </c>
    </row>
    <row r="569" spans="4:16" x14ac:dyDescent="0.2">
      <c r="D569" t="s">
        <v>8</v>
      </c>
      <c r="E569" t="s">
        <v>191</v>
      </c>
      <c r="F569" t="s">
        <v>728</v>
      </c>
      <c r="G569" t="s">
        <v>430</v>
      </c>
      <c r="H569" t="s">
        <v>431</v>
      </c>
      <c r="I569" t="s">
        <v>13</v>
      </c>
      <c r="J569" t="s">
        <v>14</v>
      </c>
      <c r="O569" t="b">
        <f>IF(COUNTIFS($F$2:F569, F569, $P$2:P569, TRUE)&gt;1,TRUE,FALSE)</f>
        <v>0</v>
      </c>
      <c r="P569" t="b">
        <f>OR(ISNUMBER(MATCH(Checklist[[#This Row],[Type]], $B$3:$B$22, 0)), Checklist[[#This Row],[Type]] = "*")</f>
        <v>0</v>
      </c>
    </row>
    <row r="570" spans="4:16" x14ac:dyDescent="0.2">
      <c r="D570" t="s">
        <v>8</v>
      </c>
      <c r="E570" t="s">
        <v>191</v>
      </c>
      <c r="F570" t="s">
        <v>729</v>
      </c>
      <c r="G570" t="s">
        <v>433</v>
      </c>
      <c r="H570" t="s">
        <v>434</v>
      </c>
      <c r="I570" t="s">
        <v>13</v>
      </c>
      <c r="J570" t="s">
        <v>14</v>
      </c>
      <c r="O570" t="b">
        <f>IF(COUNTIFS($F$2:F570, F570, $P$2:P570, TRUE)&gt;1,TRUE,FALSE)</f>
        <v>0</v>
      </c>
      <c r="P570" t="b">
        <f>OR(ISNUMBER(MATCH(Checklist[[#This Row],[Type]], $B$3:$B$22, 0)), Checklist[[#This Row],[Type]] = "*")</f>
        <v>0</v>
      </c>
    </row>
    <row r="571" spans="4:16" x14ac:dyDescent="0.2">
      <c r="D571" t="s">
        <v>8</v>
      </c>
      <c r="E571" t="s">
        <v>191</v>
      </c>
      <c r="F571" t="s">
        <v>730</v>
      </c>
      <c r="G571" t="s">
        <v>436</v>
      </c>
      <c r="H571" t="s">
        <v>437</v>
      </c>
      <c r="I571" t="s">
        <v>13</v>
      </c>
      <c r="J571" t="s">
        <v>14</v>
      </c>
      <c r="O571" t="b">
        <f>IF(COUNTIFS($F$2:F571, F571, $P$2:P571, TRUE)&gt;1,TRUE,FALSE)</f>
        <v>0</v>
      </c>
      <c r="P571" t="b">
        <f>OR(ISNUMBER(MATCH(Checklist[[#This Row],[Type]], $B$3:$B$22, 0)), Checklist[[#This Row],[Type]] = "*")</f>
        <v>0</v>
      </c>
    </row>
    <row r="572" spans="4:16" x14ac:dyDescent="0.2">
      <c r="D572" t="s">
        <v>8</v>
      </c>
      <c r="E572" t="s">
        <v>191</v>
      </c>
      <c r="F572" t="s">
        <v>731</v>
      </c>
      <c r="G572" t="s">
        <v>439</v>
      </c>
      <c r="H572" t="s">
        <v>440</v>
      </c>
      <c r="I572" t="s">
        <v>13</v>
      </c>
      <c r="J572" t="s">
        <v>14</v>
      </c>
      <c r="O572" t="b">
        <f>IF(COUNTIFS($F$2:F572, F572, $P$2:P572, TRUE)&gt;1,TRUE,FALSE)</f>
        <v>0</v>
      </c>
      <c r="P572" t="b">
        <f>OR(ISNUMBER(MATCH(Checklist[[#This Row],[Type]], $B$3:$B$22, 0)), Checklist[[#This Row],[Type]] = "*")</f>
        <v>0</v>
      </c>
    </row>
    <row r="573" spans="4:16" x14ac:dyDescent="0.2">
      <c r="D573" t="s">
        <v>8</v>
      </c>
      <c r="E573" t="s">
        <v>191</v>
      </c>
      <c r="F573" t="s">
        <v>732</v>
      </c>
      <c r="G573" t="s">
        <v>442</v>
      </c>
      <c r="H573" t="s">
        <v>443</v>
      </c>
      <c r="I573" t="s">
        <v>13</v>
      </c>
      <c r="J573" t="s">
        <v>14</v>
      </c>
      <c r="O573" t="b">
        <f>IF(COUNTIFS($F$2:F573, F573, $P$2:P573, TRUE)&gt;1,TRUE,FALSE)</f>
        <v>0</v>
      </c>
      <c r="P573" t="b">
        <f>OR(ISNUMBER(MATCH(Checklist[[#This Row],[Type]], $B$3:$B$22, 0)), Checklist[[#This Row],[Type]] = "*")</f>
        <v>0</v>
      </c>
    </row>
    <row r="574" spans="4:16" x14ac:dyDescent="0.2">
      <c r="D574" t="s">
        <v>8</v>
      </c>
      <c r="E574" t="s">
        <v>358</v>
      </c>
      <c r="F574" t="s">
        <v>587</v>
      </c>
      <c r="G574" t="s">
        <v>401</v>
      </c>
      <c r="H574" t="s">
        <v>402</v>
      </c>
      <c r="I574" t="s">
        <v>13</v>
      </c>
      <c r="J574" t="s">
        <v>14</v>
      </c>
      <c r="O574" t="b">
        <f>IF(COUNTIFS($F$2:F574, F574, $P$2:P574, TRUE)&gt;1,TRUE,FALSE)</f>
        <v>0</v>
      </c>
      <c r="P574" t="b">
        <f>OR(ISNUMBER(MATCH(Checklist[[#This Row],[Type]], $B$3:$B$22, 0)), Checklist[[#This Row],[Type]] = "*")</f>
        <v>0</v>
      </c>
    </row>
    <row r="575" spans="4:16" x14ac:dyDescent="0.2">
      <c r="D575" t="s">
        <v>8</v>
      </c>
      <c r="E575" t="s">
        <v>358</v>
      </c>
      <c r="F575" t="s">
        <v>588</v>
      </c>
      <c r="G575" t="s">
        <v>589</v>
      </c>
      <c r="H575" t="s">
        <v>590</v>
      </c>
      <c r="I575" t="s">
        <v>13</v>
      </c>
      <c r="J575" t="s">
        <v>14</v>
      </c>
      <c r="O575" t="b">
        <f>IF(COUNTIFS($F$2:F575, F575, $P$2:P575, TRUE)&gt;1,TRUE,FALSE)</f>
        <v>0</v>
      </c>
      <c r="P575" t="b">
        <f>OR(ISNUMBER(MATCH(Checklist[[#This Row],[Type]], $B$3:$B$22, 0)), Checklist[[#This Row],[Type]] = "*")</f>
        <v>0</v>
      </c>
    </row>
    <row r="576" spans="4:16" x14ac:dyDescent="0.2">
      <c r="D576" t="s">
        <v>8</v>
      </c>
      <c r="E576" t="s">
        <v>192</v>
      </c>
      <c r="F576" t="s">
        <v>655</v>
      </c>
      <c r="G576" t="s">
        <v>195</v>
      </c>
      <c r="H576" t="s">
        <v>656</v>
      </c>
      <c r="I576" t="s">
        <v>13</v>
      </c>
      <c r="J576" t="s">
        <v>14</v>
      </c>
      <c r="O576" t="b">
        <f>IF(COUNTIFS($F$2:F576, F576, $P$2:P576, TRUE)&gt;1,TRUE,FALSE)</f>
        <v>0</v>
      </c>
      <c r="P576" t="b">
        <f>OR(ISNUMBER(MATCH(Checklist[[#This Row],[Type]], $B$3:$B$22, 0)), Checklist[[#This Row],[Type]] = "*")</f>
        <v>0</v>
      </c>
    </row>
    <row r="577" spans="4:16" x14ac:dyDescent="0.2">
      <c r="D577" t="s">
        <v>8</v>
      </c>
      <c r="E577" t="s">
        <v>192</v>
      </c>
      <c r="F577" t="s">
        <v>821</v>
      </c>
      <c r="G577" t="s">
        <v>870</v>
      </c>
      <c r="H577" t="s">
        <v>871</v>
      </c>
      <c r="I577" t="s">
        <v>13</v>
      </c>
      <c r="J577" t="s">
        <v>14</v>
      </c>
      <c r="O577" t="b">
        <f>IF(COUNTIFS($F$2:F577, F577, $P$2:P577, TRUE)&gt;1,TRUE,FALSE)</f>
        <v>0</v>
      </c>
      <c r="P577" t="b">
        <f>OR(ISNUMBER(MATCH(Checklist[[#This Row],[Type]], $B$3:$B$22, 0)), Checklist[[#This Row],[Type]] = "*")</f>
        <v>0</v>
      </c>
    </row>
    <row r="578" spans="4:16" x14ac:dyDescent="0.2">
      <c r="D578" t="s">
        <v>8</v>
      </c>
      <c r="E578" t="s">
        <v>192</v>
      </c>
      <c r="F578" t="s">
        <v>657</v>
      </c>
      <c r="G578" t="s">
        <v>658</v>
      </c>
      <c r="H578" t="s">
        <v>659</v>
      </c>
      <c r="I578" t="s">
        <v>13</v>
      </c>
      <c r="J578" t="s">
        <v>14</v>
      </c>
      <c r="O578" t="b">
        <f>IF(COUNTIFS($F$2:F578, F578, $P$2:P578, TRUE)&gt;1,TRUE,FALSE)</f>
        <v>0</v>
      </c>
      <c r="P578" t="b">
        <f>OR(ISNUMBER(MATCH(Checklist[[#This Row],[Type]], $B$3:$B$22, 0)), Checklist[[#This Row],[Type]] = "*")</f>
        <v>0</v>
      </c>
    </row>
    <row r="579" spans="4:16" x14ac:dyDescent="0.2">
      <c r="D579" t="s">
        <v>8</v>
      </c>
      <c r="E579" t="s">
        <v>192</v>
      </c>
      <c r="F579" t="s">
        <v>660</v>
      </c>
      <c r="G579" t="s">
        <v>661</v>
      </c>
      <c r="H579" t="s">
        <v>662</v>
      </c>
      <c r="I579" t="s">
        <v>13</v>
      </c>
      <c r="J579" t="s">
        <v>14</v>
      </c>
      <c r="O579" t="b">
        <f>IF(COUNTIFS($F$2:F579, F579, $P$2:P579, TRUE)&gt;1,TRUE,FALSE)</f>
        <v>0</v>
      </c>
      <c r="P579" t="b">
        <f>OR(ISNUMBER(MATCH(Checklist[[#This Row],[Type]], $B$3:$B$22, 0)), Checklist[[#This Row],[Type]] = "*")</f>
        <v>0</v>
      </c>
    </row>
    <row r="580" spans="4:16" x14ac:dyDescent="0.2">
      <c r="D580" t="s">
        <v>8</v>
      </c>
      <c r="E580" t="s">
        <v>192</v>
      </c>
      <c r="F580" t="s">
        <v>663</v>
      </c>
      <c r="G580" t="s">
        <v>664</v>
      </c>
      <c r="H580" t="s">
        <v>665</v>
      </c>
      <c r="I580" t="s">
        <v>13</v>
      </c>
      <c r="J580" t="s">
        <v>14</v>
      </c>
      <c r="O580" t="b">
        <f>IF(COUNTIFS($F$2:F580, F580, $P$2:P580, TRUE)&gt;1,TRUE,FALSE)</f>
        <v>0</v>
      </c>
      <c r="P580" t="b">
        <f>OR(ISNUMBER(MATCH(Checklist[[#This Row],[Type]], $B$3:$B$22, 0)), Checklist[[#This Row],[Type]] = "*")</f>
        <v>0</v>
      </c>
    </row>
    <row r="581" spans="4:16" x14ac:dyDescent="0.2">
      <c r="D581" t="s">
        <v>8</v>
      </c>
      <c r="E581" t="s">
        <v>192</v>
      </c>
      <c r="F581" t="s">
        <v>733</v>
      </c>
      <c r="G581" t="s">
        <v>193</v>
      </c>
      <c r="H581" t="s">
        <v>194</v>
      </c>
      <c r="I581" t="s">
        <v>13</v>
      </c>
      <c r="J581" t="s">
        <v>14</v>
      </c>
      <c r="O581" t="b">
        <f>IF(COUNTIFS($F$2:F581, F581, $P$2:P581, TRUE)&gt;1,TRUE,FALSE)</f>
        <v>0</v>
      </c>
      <c r="P581" t="b">
        <f>OR(ISNUMBER(MATCH(Checklist[[#This Row],[Type]], $B$3:$B$22, 0)), Checklist[[#This Row],[Type]] = "*")</f>
        <v>0</v>
      </c>
    </row>
    <row r="582" spans="4:16" x14ac:dyDescent="0.2">
      <c r="D582" t="s">
        <v>8</v>
      </c>
      <c r="E582" t="s">
        <v>192</v>
      </c>
      <c r="F582" t="s">
        <v>734</v>
      </c>
      <c r="G582" t="s">
        <v>196</v>
      </c>
      <c r="H582" t="s">
        <v>197</v>
      </c>
      <c r="I582" t="s">
        <v>13</v>
      </c>
      <c r="J582" t="s">
        <v>14</v>
      </c>
      <c r="O582" t="b">
        <f>IF(COUNTIFS($F$2:F582, F582, $P$2:P582, TRUE)&gt;1,TRUE,FALSE)</f>
        <v>0</v>
      </c>
      <c r="P582" t="b">
        <f>OR(ISNUMBER(MATCH(Checklist[[#This Row],[Type]], $B$3:$B$22, 0)), Checklist[[#This Row],[Type]] = "*")</f>
        <v>0</v>
      </c>
    </row>
    <row r="583" spans="4:16" x14ac:dyDescent="0.2">
      <c r="D583" t="s">
        <v>8</v>
      </c>
      <c r="E583" t="s">
        <v>198</v>
      </c>
      <c r="F583" t="s">
        <v>531</v>
      </c>
      <c r="G583" t="s">
        <v>133</v>
      </c>
      <c r="H583" t="s">
        <v>428</v>
      </c>
      <c r="I583" t="s">
        <v>13</v>
      </c>
      <c r="J583" t="s">
        <v>14</v>
      </c>
      <c r="O583" t="b">
        <f>IF(COUNTIFS($F$2:F583, F583, $P$2:P583, TRUE)&gt;1,TRUE,FALSE)</f>
        <v>0</v>
      </c>
      <c r="P583" t="b">
        <f>OR(ISNUMBER(MATCH(Checklist[[#This Row],[Type]], $B$3:$B$22, 0)), Checklist[[#This Row],[Type]] = "*")</f>
        <v>0</v>
      </c>
    </row>
    <row r="584" spans="4:16" x14ac:dyDescent="0.2">
      <c r="D584" t="s">
        <v>8</v>
      </c>
      <c r="E584" t="s">
        <v>198</v>
      </c>
      <c r="F584" t="s">
        <v>735</v>
      </c>
      <c r="G584" t="s">
        <v>70</v>
      </c>
      <c r="H584" t="s">
        <v>199</v>
      </c>
      <c r="I584" t="s">
        <v>13</v>
      </c>
      <c r="J584" t="s">
        <v>14</v>
      </c>
      <c r="O584" t="b">
        <f>IF(COUNTIFS($F$2:F584, F584, $P$2:P584, TRUE)&gt;1,TRUE,FALSE)</f>
        <v>0</v>
      </c>
      <c r="P584" t="b">
        <f>OR(ISNUMBER(MATCH(Checklist[[#This Row],[Type]], $B$3:$B$22, 0)), Checklist[[#This Row],[Type]] = "*")</f>
        <v>0</v>
      </c>
    </row>
    <row r="585" spans="4:16" x14ac:dyDescent="0.2">
      <c r="D585" t="s">
        <v>8</v>
      </c>
      <c r="E585" t="s">
        <v>198</v>
      </c>
      <c r="F585" t="s">
        <v>736</v>
      </c>
      <c r="G585" t="s">
        <v>200</v>
      </c>
      <c r="H585" t="s">
        <v>201</v>
      </c>
      <c r="I585" t="s">
        <v>13</v>
      </c>
      <c r="J585" t="s">
        <v>14</v>
      </c>
      <c r="O585" t="b">
        <f>IF(COUNTIFS($F$2:F585, F585, $P$2:P585, TRUE)&gt;1,TRUE,FALSE)</f>
        <v>0</v>
      </c>
      <c r="P585" t="b">
        <f>OR(ISNUMBER(MATCH(Checklist[[#This Row],[Type]], $B$3:$B$22, 0)), Checklist[[#This Row],[Type]] = "*")</f>
        <v>0</v>
      </c>
    </row>
    <row r="586" spans="4:16" x14ac:dyDescent="0.2">
      <c r="D586" t="s">
        <v>8</v>
      </c>
      <c r="E586" t="s">
        <v>202</v>
      </c>
      <c r="F586" t="s">
        <v>531</v>
      </c>
      <c r="G586" t="s">
        <v>133</v>
      </c>
      <c r="H586" t="s">
        <v>428</v>
      </c>
      <c r="I586" t="s">
        <v>13</v>
      </c>
      <c r="J586" t="s">
        <v>14</v>
      </c>
      <c r="O586" t="b">
        <f>IF(COUNTIFS($F$2:F586, F586, $P$2:P586, TRUE)&gt;1,TRUE,FALSE)</f>
        <v>0</v>
      </c>
      <c r="P586" t="b">
        <f>OR(ISNUMBER(MATCH(Checklist[[#This Row],[Type]], $B$3:$B$22, 0)), Checklist[[#This Row],[Type]] = "*")</f>
        <v>0</v>
      </c>
    </row>
    <row r="587" spans="4:16" x14ac:dyDescent="0.2">
      <c r="D587" t="s">
        <v>8</v>
      </c>
      <c r="E587" t="s">
        <v>203</v>
      </c>
      <c r="F587" t="s">
        <v>404</v>
      </c>
      <c r="G587" t="s">
        <v>405</v>
      </c>
      <c r="H587" t="s">
        <v>406</v>
      </c>
      <c r="I587" t="s">
        <v>13</v>
      </c>
      <c r="J587" t="s">
        <v>14</v>
      </c>
      <c r="O587" t="b">
        <f>IF(COUNTIFS($F$2:F587, F587, $P$2:P587, TRUE)&gt;1,TRUE,FALSE)</f>
        <v>0</v>
      </c>
      <c r="P587" t="b">
        <f>OR(ISNUMBER(MATCH(Checklist[[#This Row],[Type]], $B$3:$B$22, 0)), Checklist[[#This Row],[Type]] = "*")</f>
        <v>0</v>
      </c>
    </row>
    <row r="588" spans="4:16" x14ac:dyDescent="0.2">
      <c r="D588" t="s">
        <v>8</v>
      </c>
      <c r="E588" t="s">
        <v>203</v>
      </c>
      <c r="F588" t="s">
        <v>407</v>
      </c>
      <c r="G588" t="s">
        <v>408</v>
      </c>
      <c r="H588" t="s">
        <v>409</v>
      </c>
      <c r="I588" t="s">
        <v>13</v>
      </c>
      <c r="J588" t="s">
        <v>14</v>
      </c>
      <c r="O588" t="b">
        <f>IF(COUNTIFS($F$2:F588, F588, $P$2:P588, TRUE)&gt;1,TRUE,FALSE)</f>
        <v>0</v>
      </c>
      <c r="P588" t="b">
        <f>OR(ISNUMBER(MATCH(Checklist[[#This Row],[Type]], $B$3:$B$22, 0)), Checklist[[#This Row],[Type]] = "*")</f>
        <v>0</v>
      </c>
    </row>
    <row r="589" spans="4:16" x14ac:dyDescent="0.2">
      <c r="D589" t="s">
        <v>8</v>
      </c>
      <c r="E589" t="s">
        <v>203</v>
      </c>
      <c r="F589" t="s">
        <v>410</v>
      </c>
      <c r="G589" t="s">
        <v>411</v>
      </c>
      <c r="H589" t="s">
        <v>412</v>
      </c>
      <c r="I589" t="s">
        <v>13</v>
      </c>
      <c r="J589" t="s">
        <v>14</v>
      </c>
      <c r="O589" t="b">
        <f>IF(COUNTIFS($F$2:F589, F589, $P$2:P589, TRUE)&gt;1,TRUE,FALSE)</f>
        <v>0</v>
      </c>
      <c r="P589" t="b">
        <f>OR(ISNUMBER(MATCH(Checklist[[#This Row],[Type]], $B$3:$B$22, 0)), Checklist[[#This Row],[Type]] = "*")</f>
        <v>0</v>
      </c>
    </row>
    <row r="590" spans="4:16" x14ac:dyDescent="0.2">
      <c r="D590" t="s">
        <v>8</v>
      </c>
      <c r="E590" t="s">
        <v>203</v>
      </c>
      <c r="F590" t="s">
        <v>413</v>
      </c>
      <c r="G590" t="s">
        <v>414</v>
      </c>
      <c r="H590" t="s">
        <v>415</v>
      </c>
      <c r="I590" t="s">
        <v>13</v>
      </c>
      <c r="J590" t="s">
        <v>14</v>
      </c>
      <c r="O590" t="b">
        <f>IF(COUNTIFS($F$2:F590, F590, $P$2:P590, TRUE)&gt;1,TRUE,FALSE)</f>
        <v>0</v>
      </c>
      <c r="P590" t="b">
        <f>OR(ISNUMBER(MATCH(Checklist[[#This Row],[Type]], $B$3:$B$22, 0)), Checklist[[#This Row],[Type]] = "*")</f>
        <v>0</v>
      </c>
    </row>
    <row r="591" spans="4:16" x14ac:dyDescent="0.2">
      <c r="D591" t="s">
        <v>8</v>
      </c>
      <c r="E591" t="s">
        <v>203</v>
      </c>
      <c r="F591" t="s">
        <v>416</v>
      </c>
      <c r="G591" t="s">
        <v>417</v>
      </c>
      <c r="H591" t="s">
        <v>418</v>
      </c>
      <c r="I591" t="s">
        <v>13</v>
      </c>
      <c r="J591" t="s">
        <v>14</v>
      </c>
      <c r="O591" t="b">
        <f>IF(COUNTIFS($F$2:F591, F591, $P$2:P591, TRUE)&gt;1,TRUE,FALSE)</f>
        <v>0</v>
      </c>
      <c r="P591" t="b">
        <f>OR(ISNUMBER(MATCH(Checklist[[#This Row],[Type]], $B$3:$B$22, 0)), Checklist[[#This Row],[Type]] = "*")</f>
        <v>0</v>
      </c>
    </row>
    <row r="592" spans="4:16" x14ac:dyDescent="0.2">
      <c r="D592" t="s">
        <v>8</v>
      </c>
      <c r="E592" t="s">
        <v>203</v>
      </c>
      <c r="F592" t="s">
        <v>737</v>
      </c>
      <c r="G592" t="s">
        <v>445</v>
      </c>
      <c r="H592" t="s">
        <v>446</v>
      </c>
      <c r="I592" t="s">
        <v>13</v>
      </c>
      <c r="J592" t="s">
        <v>14</v>
      </c>
      <c r="O592" t="b">
        <f>IF(COUNTIFS($F$2:F592, F592, $P$2:P592, TRUE)&gt;1,TRUE,FALSE)</f>
        <v>0</v>
      </c>
      <c r="P592" t="b">
        <f>OR(ISNUMBER(MATCH(Checklist[[#This Row],[Type]], $B$3:$B$22, 0)), Checklist[[#This Row],[Type]] = "*")</f>
        <v>0</v>
      </c>
    </row>
    <row r="593" spans="4:16" x14ac:dyDescent="0.2">
      <c r="D593" t="s">
        <v>8</v>
      </c>
      <c r="E593" t="s">
        <v>203</v>
      </c>
      <c r="F593" t="s">
        <v>738</v>
      </c>
      <c r="G593" t="s">
        <v>150</v>
      </c>
      <c r="H593" t="s">
        <v>739</v>
      </c>
      <c r="I593" t="s">
        <v>13</v>
      </c>
      <c r="J593" t="s">
        <v>14</v>
      </c>
      <c r="O593" t="b">
        <f>IF(COUNTIFS($F$2:F593, F593, $P$2:P593, TRUE)&gt;1,TRUE,FALSE)</f>
        <v>0</v>
      </c>
      <c r="P593" t="b">
        <f>OR(ISNUMBER(MATCH(Checklist[[#This Row],[Type]], $B$3:$B$22, 0)), Checklist[[#This Row],[Type]] = "*")</f>
        <v>0</v>
      </c>
    </row>
    <row r="594" spans="4:16" x14ac:dyDescent="0.2">
      <c r="D594" t="s">
        <v>8</v>
      </c>
      <c r="E594" t="s">
        <v>205</v>
      </c>
      <c r="F594" t="s">
        <v>585</v>
      </c>
      <c r="G594" t="s">
        <v>86</v>
      </c>
      <c r="H594" t="s">
        <v>383</v>
      </c>
      <c r="I594" t="s">
        <v>13</v>
      </c>
      <c r="J594" t="s">
        <v>14</v>
      </c>
      <c r="O594" t="b">
        <f>IF(COUNTIFS($F$2:F594, F594, $P$2:P594, TRUE)&gt;1,TRUE,FALSE)</f>
        <v>0</v>
      </c>
      <c r="P594" t="b">
        <f>OR(ISNUMBER(MATCH(Checklist[[#This Row],[Type]], $B$3:$B$22, 0)), Checklist[[#This Row],[Type]] = "*")</f>
        <v>0</v>
      </c>
    </row>
    <row r="595" spans="4:16" x14ac:dyDescent="0.2">
      <c r="D595" t="s">
        <v>8</v>
      </c>
      <c r="E595" t="s">
        <v>205</v>
      </c>
      <c r="F595" t="s">
        <v>586</v>
      </c>
      <c r="G595" t="s">
        <v>385</v>
      </c>
      <c r="H595" t="s">
        <v>386</v>
      </c>
      <c r="I595" t="s">
        <v>13</v>
      </c>
      <c r="J595" t="s">
        <v>14</v>
      </c>
      <c r="O595" t="b">
        <f>IF(COUNTIFS($F$2:F595, F595, $P$2:P595, TRUE)&gt;1,TRUE,FALSE)</f>
        <v>0</v>
      </c>
      <c r="P595" t="b">
        <f>OR(ISNUMBER(MATCH(Checklist[[#This Row],[Type]], $B$3:$B$22, 0)), Checklist[[#This Row],[Type]] = "*")</f>
        <v>0</v>
      </c>
    </row>
    <row r="596" spans="4:16" x14ac:dyDescent="0.2">
      <c r="D596" t="s">
        <v>8</v>
      </c>
      <c r="E596" t="s">
        <v>205</v>
      </c>
      <c r="F596" t="s">
        <v>822</v>
      </c>
      <c r="G596" t="s">
        <v>823</v>
      </c>
      <c r="H596" t="s">
        <v>824</v>
      </c>
      <c r="I596" t="s">
        <v>13</v>
      </c>
      <c r="J596" t="s">
        <v>14</v>
      </c>
      <c r="O596" t="b">
        <f>IF(COUNTIFS($F$2:F596, F596, $P$2:P596, TRUE)&gt;1,TRUE,FALSE)</f>
        <v>0</v>
      </c>
      <c r="P596" t="b">
        <f>OR(ISNUMBER(MATCH(Checklist[[#This Row],[Type]], $B$3:$B$22, 0)), Checklist[[#This Row],[Type]] = "*")</f>
        <v>0</v>
      </c>
    </row>
    <row r="597" spans="4:16" x14ac:dyDescent="0.2">
      <c r="D597" t="s">
        <v>8</v>
      </c>
      <c r="E597" t="s">
        <v>205</v>
      </c>
      <c r="F597" t="s">
        <v>587</v>
      </c>
      <c r="G597" t="s">
        <v>401</v>
      </c>
      <c r="H597" t="s">
        <v>402</v>
      </c>
      <c r="I597" t="s">
        <v>13</v>
      </c>
      <c r="J597" t="s">
        <v>14</v>
      </c>
      <c r="O597" t="b">
        <f>IF(COUNTIFS($F$2:F597, F597, $P$2:P597, TRUE)&gt;1,TRUE,FALSE)</f>
        <v>0</v>
      </c>
      <c r="P597" t="b">
        <f>OR(ISNUMBER(MATCH(Checklist[[#This Row],[Type]], $B$3:$B$22, 0)), Checklist[[#This Row],[Type]] = "*")</f>
        <v>0</v>
      </c>
    </row>
    <row r="598" spans="4:16" x14ac:dyDescent="0.2">
      <c r="D598" t="s">
        <v>8</v>
      </c>
      <c r="E598" t="s">
        <v>205</v>
      </c>
      <c r="F598" t="s">
        <v>588</v>
      </c>
      <c r="G598" t="s">
        <v>589</v>
      </c>
      <c r="H598" t="s">
        <v>590</v>
      </c>
      <c r="I598" t="s">
        <v>13</v>
      </c>
      <c r="J598" t="s">
        <v>14</v>
      </c>
      <c r="O598" t="b">
        <f>IF(COUNTIFS($F$2:F598, F598, $P$2:P598, TRUE)&gt;1,TRUE,FALSE)</f>
        <v>0</v>
      </c>
      <c r="P598" t="b">
        <f>OR(ISNUMBER(MATCH(Checklist[[#This Row],[Type]], $B$3:$B$22, 0)), Checklist[[#This Row],[Type]] = "*")</f>
        <v>0</v>
      </c>
    </row>
    <row r="599" spans="4:16" x14ac:dyDescent="0.2">
      <c r="D599" t="s">
        <v>8</v>
      </c>
      <c r="E599" t="s">
        <v>205</v>
      </c>
      <c r="F599" t="s">
        <v>591</v>
      </c>
      <c r="G599" t="s">
        <v>388</v>
      </c>
      <c r="H599" t="s">
        <v>389</v>
      </c>
      <c r="I599" t="s">
        <v>13</v>
      </c>
      <c r="J599" t="s">
        <v>14</v>
      </c>
      <c r="O599" t="b">
        <f>IF(COUNTIFS($F$2:F599, F599, $P$2:P599, TRUE)&gt;1,TRUE,FALSE)</f>
        <v>0</v>
      </c>
      <c r="P599" t="b">
        <f>OR(ISNUMBER(MATCH(Checklist[[#This Row],[Type]], $B$3:$B$22, 0)), Checklist[[#This Row],[Type]] = "*")</f>
        <v>0</v>
      </c>
    </row>
    <row r="600" spans="4:16" x14ac:dyDescent="0.2">
      <c r="D600" t="s">
        <v>8</v>
      </c>
      <c r="E600" t="s">
        <v>205</v>
      </c>
      <c r="F600" t="s">
        <v>592</v>
      </c>
      <c r="G600" t="s">
        <v>391</v>
      </c>
      <c r="H600" t="s">
        <v>593</v>
      </c>
      <c r="I600" t="s">
        <v>13</v>
      </c>
      <c r="J600" t="s">
        <v>14</v>
      </c>
      <c r="O600" t="b">
        <f>IF(COUNTIFS($F$2:F600, F600, $P$2:P600, TRUE)&gt;1,TRUE,FALSE)</f>
        <v>0</v>
      </c>
      <c r="P600" t="b">
        <f>OR(ISNUMBER(MATCH(Checklist[[#This Row],[Type]], $B$3:$B$22, 0)), Checklist[[#This Row],[Type]] = "*")</f>
        <v>0</v>
      </c>
    </row>
    <row r="601" spans="4:16" x14ac:dyDescent="0.2">
      <c r="D601" t="s">
        <v>8</v>
      </c>
      <c r="E601" t="s">
        <v>205</v>
      </c>
      <c r="F601" t="s">
        <v>594</v>
      </c>
      <c r="G601" t="s">
        <v>161</v>
      </c>
      <c r="H601" t="s">
        <v>396</v>
      </c>
      <c r="I601" t="s">
        <v>13</v>
      </c>
      <c r="J601" t="s">
        <v>14</v>
      </c>
      <c r="O601" t="b">
        <f>IF(COUNTIFS($F$2:F601, F601, $P$2:P601, TRUE)&gt;1,TRUE,FALSE)</f>
        <v>0</v>
      </c>
      <c r="P601" t="b">
        <f>OR(ISNUMBER(MATCH(Checklist[[#This Row],[Type]], $B$3:$B$22, 0)), Checklist[[#This Row],[Type]] = "*")</f>
        <v>0</v>
      </c>
    </row>
    <row r="602" spans="4:16" x14ac:dyDescent="0.2">
      <c r="D602" t="s">
        <v>8</v>
      </c>
      <c r="E602" t="s">
        <v>205</v>
      </c>
      <c r="F602" t="s">
        <v>825</v>
      </c>
      <c r="G602" t="s">
        <v>826</v>
      </c>
      <c r="H602" t="s">
        <v>827</v>
      </c>
      <c r="I602" t="s">
        <v>13</v>
      </c>
      <c r="J602" t="s">
        <v>14</v>
      </c>
      <c r="O602" t="b">
        <f>IF(COUNTIFS($F$2:F602, F602, $P$2:P602, TRUE)&gt;1,TRUE,FALSE)</f>
        <v>0</v>
      </c>
      <c r="P602" t="b">
        <f>OR(ISNUMBER(MATCH(Checklist[[#This Row],[Type]], $B$3:$B$22, 0)), Checklist[[#This Row],[Type]] = "*")</f>
        <v>0</v>
      </c>
    </row>
    <row r="603" spans="4:16" x14ac:dyDescent="0.2">
      <c r="D603" t="s">
        <v>8</v>
      </c>
      <c r="E603" t="s">
        <v>207</v>
      </c>
      <c r="F603" t="s">
        <v>488</v>
      </c>
      <c r="G603" t="s">
        <v>442</v>
      </c>
      <c r="H603" t="s">
        <v>443</v>
      </c>
      <c r="I603" t="s">
        <v>13</v>
      </c>
      <c r="J603" t="s">
        <v>14</v>
      </c>
      <c r="O603" t="b">
        <f>IF(COUNTIFS($F$2:F603, F603, $P$2:P603, TRUE)&gt;1,TRUE,FALSE)</f>
        <v>0</v>
      </c>
      <c r="P603" t="b">
        <f>OR(ISNUMBER(MATCH(Checklist[[#This Row],[Type]], $B$3:$B$22, 0)), Checklist[[#This Row],[Type]] = "*")</f>
        <v>0</v>
      </c>
    </row>
    <row r="604" spans="4:16" x14ac:dyDescent="0.2">
      <c r="D604" t="s">
        <v>8</v>
      </c>
      <c r="E604" t="s">
        <v>207</v>
      </c>
      <c r="F604" t="s">
        <v>489</v>
      </c>
      <c r="G604" t="s">
        <v>490</v>
      </c>
      <c r="H604" t="s">
        <v>491</v>
      </c>
      <c r="I604" t="s">
        <v>13</v>
      </c>
      <c r="J604" t="s">
        <v>14</v>
      </c>
      <c r="O604" t="b">
        <f>IF(COUNTIFS($F$2:F604, F604, $P$2:P604, TRUE)&gt;1,TRUE,FALSE)</f>
        <v>0</v>
      </c>
      <c r="P604" t="b">
        <f>OR(ISNUMBER(MATCH(Checklist[[#This Row],[Type]], $B$3:$B$22, 0)), Checklist[[#This Row],[Type]] = "*")</f>
        <v>0</v>
      </c>
    </row>
    <row r="605" spans="4:16" x14ac:dyDescent="0.2">
      <c r="D605" t="s">
        <v>8</v>
      </c>
      <c r="E605" t="s">
        <v>207</v>
      </c>
      <c r="F605" t="s">
        <v>492</v>
      </c>
      <c r="G605" t="s">
        <v>423</v>
      </c>
      <c r="H605" t="s">
        <v>424</v>
      </c>
      <c r="I605" t="s">
        <v>13</v>
      </c>
      <c r="J605" t="s">
        <v>14</v>
      </c>
      <c r="O605" t="b">
        <f>IF(COUNTIFS($F$2:F605, F605, $P$2:P605, TRUE)&gt;1,TRUE,FALSE)</f>
        <v>0</v>
      </c>
      <c r="P605" t="b">
        <f>OR(ISNUMBER(MATCH(Checklist[[#This Row],[Type]], $B$3:$B$22, 0)), Checklist[[#This Row],[Type]] = "*")</f>
        <v>0</v>
      </c>
    </row>
    <row r="606" spans="4:16" x14ac:dyDescent="0.2">
      <c r="D606" t="s">
        <v>8</v>
      </c>
      <c r="E606" t="s">
        <v>207</v>
      </c>
      <c r="F606" t="s">
        <v>493</v>
      </c>
      <c r="G606" t="s">
        <v>204</v>
      </c>
      <c r="H606" t="s">
        <v>426</v>
      </c>
      <c r="I606" t="s">
        <v>13</v>
      </c>
      <c r="J606" t="s">
        <v>14</v>
      </c>
      <c r="O606" t="b">
        <f>IF(COUNTIFS($F$2:F606, F606, $P$2:P606, TRUE)&gt;1,TRUE,FALSE)</f>
        <v>0</v>
      </c>
      <c r="P606" t="b">
        <f>OR(ISNUMBER(MATCH(Checklist[[#This Row],[Type]], $B$3:$B$22, 0)), Checklist[[#This Row],[Type]] = "*")</f>
        <v>0</v>
      </c>
    </row>
    <row r="607" spans="4:16" x14ac:dyDescent="0.2">
      <c r="D607" t="s">
        <v>8</v>
      </c>
      <c r="E607" t="s">
        <v>207</v>
      </c>
      <c r="F607" t="s">
        <v>494</v>
      </c>
      <c r="G607" t="s">
        <v>495</v>
      </c>
      <c r="H607" t="s">
        <v>496</v>
      </c>
      <c r="I607" t="s">
        <v>13</v>
      </c>
      <c r="J607" t="s">
        <v>14</v>
      </c>
      <c r="O607" t="b">
        <f>IF(COUNTIFS($F$2:F607, F607, $P$2:P607, TRUE)&gt;1,TRUE,FALSE)</f>
        <v>0</v>
      </c>
      <c r="P607" t="b">
        <f>OR(ISNUMBER(MATCH(Checklist[[#This Row],[Type]], $B$3:$B$22, 0)), Checklist[[#This Row],[Type]] = "*")</f>
        <v>0</v>
      </c>
    </row>
    <row r="608" spans="4:16" x14ac:dyDescent="0.2">
      <c r="D608" t="s">
        <v>8</v>
      </c>
      <c r="E608" t="s">
        <v>207</v>
      </c>
      <c r="F608" t="s">
        <v>740</v>
      </c>
      <c r="G608" t="s">
        <v>206</v>
      </c>
      <c r="H608" t="s">
        <v>208</v>
      </c>
      <c r="I608" t="s">
        <v>13</v>
      </c>
      <c r="J608" t="s">
        <v>14</v>
      </c>
      <c r="O608" t="b">
        <f>IF(COUNTIFS($F$2:F608, F608, $P$2:P608, TRUE)&gt;1,TRUE,FALSE)</f>
        <v>0</v>
      </c>
      <c r="P608" t="b">
        <f>OR(ISNUMBER(MATCH(Checklist[[#This Row],[Type]], $B$3:$B$22, 0)), Checklist[[#This Row],[Type]] = "*")</f>
        <v>0</v>
      </c>
    </row>
    <row r="609" spans="4:16" x14ac:dyDescent="0.2">
      <c r="D609" t="s">
        <v>8</v>
      </c>
      <c r="E609" t="s">
        <v>209</v>
      </c>
      <c r="F609" t="s">
        <v>741</v>
      </c>
      <c r="G609" t="s">
        <v>506</v>
      </c>
      <c r="H609" t="s">
        <v>742</v>
      </c>
      <c r="I609" t="s">
        <v>13</v>
      </c>
      <c r="J609" t="s">
        <v>14</v>
      </c>
      <c r="O609" t="b">
        <f>IF(COUNTIFS($F$2:F609, F609, $P$2:P609, TRUE)&gt;1,TRUE,FALSE)</f>
        <v>0</v>
      </c>
      <c r="P609" t="b">
        <f>OR(ISNUMBER(MATCH(Checklist[[#This Row],[Type]], $B$3:$B$22, 0)), Checklist[[#This Row],[Type]] = "*")</f>
        <v>0</v>
      </c>
    </row>
    <row r="610" spans="4:16" x14ac:dyDescent="0.2">
      <c r="D610" t="s">
        <v>8</v>
      </c>
      <c r="E610" t="s">
        <v>209</v>
      </c>
      <c r="F610" t="s">
        <v>743</v>
      </c>
      <c r="G610" t="s">
        <v>744</v>
      </c>
      <c r="H610" t="s">
        <v>745</v>
      </c>
      <c r="I610" t="s">
        <v>13</v>
      </c>
      <c r="J610" t="s">
        <v>14</v>
      </c>
      <c r="O610" t="b">
        <f>IF(COUNTIFS($F$2:F610, F610, $P$2:P610, TRUE)&gt;1,TRUE,FALSE)</f>
        <v>0</v>
      </c>
      <c r="P610" t="b">
        <f>OR(ISNUMBER(MATCH(Checklist[[#This Row],[Type]], $B$3:$B$22, 0)), Checklist[[#This Row],[Type]] = "*")</f>
        <v>0</v>
      </c>
    </row>
    <row r="611" spans="4:16" x14ac:dyDescent="0.2">
      <c r="D611" t="s">
        <v>8</v>
      </c>
      <c r="E611" t="s">
        <v>210</v>
      </c>
      <c r="F611" t="s">
        <v>404</v>
      </c>
      <c r="G611" t="s">
        <v>405</v>
      </c>
      <c r="H611" t="s">
        <v>406</v>
      </c>
      <c r="I611" t="s">
        <v>13</v>
      </c>
      <c r="J611" t="s">
        <v>14</v>
      </c>
      <c r="O611" t="b">
        <f>IF(COUNTIFS($F$2:F611, F611, $P$2:P611, TRUE)&gt;1,TRUE,FALSE)</f>
        <v>0</v>
      </c>
      <c r="P611" t="b">
        <f>OR(ISNUMBER(MATCH(Checklist[[#This Row],[Type]], $B$3:$B$22, 0)), Checklist[[#This Row],[Type]] = "*")</f>
        <v>0</v>
      </c>
    </row>
    <row r="612" spans="4:16" x14ac:dyDescent="0.2">
      <c r="D612" t="s">
        <v>8</v>
      </c>
      <c r="E612" t="s">
        <v>210</v>
      </c>
      <c r="F612" t="s">
        <v>407</v>
      </c>
      <c r="G612" t="s">
        <v>408</v>
      </c>
      <c r="H612" t="s">
        <v>409</v>
      </c>
      <c r="I612" t="s">
        <v>13</v>
      </c>
      <c r="J612" t="s">
        <v>14</v>
      </c>
      <c r="O612" t="b">
        <f>IF(COUNTIFS($F$2:F612, F612, $P$2:P612, TRUE)&gt;1,TRUE,FALSE)</f>
        <v>0</v>
      </c>
      <c r="P612" t="b">
        <f>OR(ISNUMBER(MATCH(Checklist[[#This Row],[Type]], $B$3:$B$22, 0)), Checklist[[#This Row],[Type]] = "*")</f>
        <v>0</v>
      </c>
    </row>
    <row r="613" spans="4:16" x14ac:dyDescent="0.2">
      <c r="D613" t="s">
        <v>8</v>
      </c>
      <c r="E613" t="s">
        <v>210</v>
      </c>
      <c r="F613" t="s">
        <v>410</v>
      </c>
      <c r="G613" t="s">
        <v>411</v>
      </c>
      <c r="H613" t="s">
        <v>412</v>
      </c>
      <c r="I613" t="s">
        <v>13</v>
      </c>
      <c r="J613" t="s">
        <v>14</v>
      </c>
      <c r="O613" t="b">
        <f>IF(COUNTIFS($F$2:F613, F613, $P$2:P613, TRUE)&gt;1,TRUE,FALSE)</f>
        <v>0</v>
      </c>
      <c r="P613" t="b">
        <f>OR(ISNUMBER(MATCH(Checklist[[#This Row],[Type]], $B$3:$B$22, 0)), Checklist[[#This Row],[Type]] = "*")</f>
        <v>0</v>
      </c>
    </row>
    <row r="614" spans="4:16" x14ac:dyDescent="0.2">
      <c r="D614" t="s">
        <v>8</v>
      </c>
      <c r="E614" t="s">
        <v>210</v>
      </c>
      <c r="F614" t="s">
        <v>413</v>
      </c>
      <c r="G614" t="s">
        <v>414</v>
      </c>
      <c r="H614" t="s">
        <v>415</v>
      </c>
      <c r="I614" t="s">
        <v>13</v>
      </c>
      <c r="J614" t="s">
        <v>14</v>
      </c>
      <c r="O614" t="b">
        <f>IF(COUNTIFS($F$2:F614, F614, $P$2:P614, TRUE)&gt;1,TRUE,FALSE)</f>
        <v>0</v>
      </c>
      <c r="P614" t="b">
        <f>OR(ISNUMBER(MATCH(Checklist[[#This Row],[Type]], $B$3:$B$22, 0)), Checklist[[#This Row],[Type]] = "*")</f>
        <v>0</v>
      </c>
    </row>
    <row r="615" spans="4:16" x14ac:dyDescent="0.2">
      <c r="D615" t="s">
        <v>8</v>
      </c>
      <c r="E615" t="s">
        <v>210</v>
      </c>
      <c r="F615" t="s">
        <v>416</v>
      </c>
      <c r="G615" t="s">
        <v>417</v>
      </c>
      <c r="H615" t="s">
        <v>418</v>
      </c>
      <c r="I615" t="s">
        <v>13</v>
      </c>
      <c r="J615" t="s">
        <v>14</v>
      </c>
      <c r="O615" t="b">
        <f>IF(COUNTIFS($F$2:F615, F615, $P$2:P615, TRUE)&gt;1,TRUE,FALSE)</f>
        <v>0</v>
      </c>
      <c r="P615" t="b">
        <f>OR(ISNUMBER(MATCH(Checklist[[#This Row],[Type]], $B$3:$B$22, 0)), Checklist[[#This Row],[Type]] = "*")</f>
        <v>0</v>
      </c>
    </row>
    <row r="616" spans="4:16" x14ac:dyDescent="0.2">
      <c r="D616" t="s">
        <v>8</v>
      </c>
      <c r="E616" t="s">
        <v>210</v>
      </c>
      <c r="F616" t="s">
        <v>419</v>
      </c>
      <c r="G616" t="s">
        <v>420</v>
      </c>
      <c r="H616" t="s">
        <v>421</v>
      </c>
      <c r="I616" t="s">
        <v>13</v>
      </c>
      <c r="J616" t="s">
        <v>14</v>
      </c>
      <c r="O616" t="b">
        <f>IF(COUNTIFS($F$2:F616, F616, $P$2:P616, TRUE)&gt;1,TRUE,FALSE)</f>
        <v>0</v>
      </c>
      <c r="P616" t="b">
        <f>OR(ISNUMBER(MATCH(Checklist[[#This Row],[Type]], $B$3:$B$22, 0)), Checklist[[#This Row],[Type]] = "*")</f>
        <v>0</v>
      </c>
    </row>
    <row r="617" spans="4:16" x14ac:dyDescent="0.2">
      <c r="D617" t="s">
        <v>8</v>
      </c>
      <c r="E617" t="s">
        <v>210</v>
      </c>
      <c r="F617" t="s">
        <v>422</v>
      </c>
      <c r="G617" t="s">
        <v>423</v>
      </c>
      <c r="H617" t="s">
        <v>424</v>
      </c>
      <c r="I617" t="s">
        <v>13</v>
      </c>
      <c r="J617" t="s">
        <v>14</v>
      </c>
      <c r="O617" t="b">
        <f>IF(COUNTIFS($F$2:F617, F617, $P$2:P617, TRUE)&gt;1,TRUE,FALSE)</f>
        <v>0</v>
      </c>
      <c r="P617" t="b">
        <f>OR(ISNUMBER(MATCH(Checklist[[#This Row],[Type]], $B$3:$B$22, 0)), Checklist[[#This Row],[Type]] = "*")</f>
        <v>0</v>
      </c>
    </row>
    <row r="618" spans="4:16" x14ac:dyDescent="0.2">
      <c r="D618" t="s">
        <v>8</v>
      </c>
      <c r="E618" t="s">
        <v>210</v>
      </c>
      <c r="F618" t="s">
        <v>425</v>
      </c>
      <c r="G618" t="s">
        <v>204</v>
      </c>
      <c r="H618" t="s">
        <v>426</v>
      </c>
      <c r="I618" t="s">
        <v>13</v>
      </c>
      <c r="J618" t="s">
        <v>14</v>
      </c>
      <c r="O618" t="b">
        <f>IF(COUNTIFS($F$2:F618, F618, $P$2:P618, TRUE)&gt;1,TRUE,FALSE)</f>
        <v>0</v>
      </c>
      <c r="P618" t="b">
        <f>OR(ISNUMBER(MATCH(Checklist[[#This Row],[Type]], $B$3:$B$22, 0)), Checklist[[#This Row],[Type]] = "*")</f>
        <v>0</v>
      </c>
    </row>
    <row r="619" spans="4:16" x14ac:dyDescent="0.2">
      <c r="D619" t="s">
        <v>8</v>
      </c>
      <c r="E619" t="s">
        <v>210</v>
      </c>
      <c r="F619" t="s">
        <v>427</v>
      </c>
      <c r="G619" t="s">
        <v>133</v>
      </c>
      <c r="H619" t="s">
        <v>428</v>
      </c>
      <c r="I619" t="s">
        <v>13</v>
      </c>
      <c r="J619" t="s">
        <v>14</v>
      </c>
      <c r="O619" t="b">
        <f>IF(COUNTIFS($F$2:F619, F619, $P$2:P619, TRUE)&gt;1,TRUE,FALSE)</f>
        <v>0</v>
      </c>
      <c r="P619" t="b">
        <f>OR(ISNUMBER(MATCH(Checklist[[#This Row],[Type]], $B$3:$B$22, 0)), Checklist[[#This Row],[Type]] = "*")</f>
        <v>0</v>
      </c>
    </row>
    <row r="620" spans="4:16" x14ac:dyDescent="0.2">
      <c r="D620" t="s">
        <v>8</v>
      </c>
      <c r="E620" t="s">
        <v>210</v>
      </c>
      <c r="F620" t="s">
        <v>746</v>
      </c>
      <c r="G620" t="s">
        <v>445</v>
      </c>
      <c r="H620" t="s">
        <v>446</v>
      </c>
      <c r="I620" t="s">
        <v>13</v>
      </c>
      <c r="J620" t="s">
        <v>14</v>
      </c>
      <c r="O620" t="b">
        <f>IF(COUNTIFS($F$2:F620, F620, $P$2:P620, TRUE)&gt;1,TRUE,FALSE)</f>
        <v>0</v>
      </c>
      <c r="P620" t="b">
        <f>OR(ISNUMBER(MATCH(Checklist[[#This Row],[Type]], $B$3:$B$22, 0)), Checklist[[#This Row],[Type]] = "*")</f>
        <v>0</v>
      </c>
    </row>
    <row r="621" spans="4:16" x14ac:dyDescent="0.2">
      <c r="D621" t="s">
        <v>8</v>
      </c>
      <c r="E621" t="s">
        <v>210</v>
      </c>
      <c r="F621" t="s">
        <v>747</v>
      </c>
      <c r="G621" t="s">
        <v>56</v>
      </c>
      <c r="H621" t="s">
        <v>57</v>
      </c>
      <c r="I621" t="s">
        <v>13</v>
      </c>
      <c r="J621" t="s">
        <v>14</v>
      </c>
      <c r="O621" t="b">
        <f>IF(COUNTIFS($F$2:F621, F621, $P$2:P621, TRUE)&gt;1,TRUE,FALSE)</f>
        <v>0</v>
      </c>
      <c r="P621" t="b">
        <f>OR(ISNUMBER(MATCH(Checklist[[#This Row],[Type]], $B$3:$B$22, 0)), Checklist[[#This Row],[Type]] = "*")</f>
        <v>0</v>
      </c>
    </row>
    <row r="622" spans="4:16" x14ac:dyDescent="0.2">
      <c r="D622" t="s">
        <v>8</v>
      </c>
      <c r="E622" t="s">
        <v>212</v>
      </c>
      <c r="F622" t="s">
        <v>748</v>
      </c>
      <c r="G622" t="s">
        <v>864</v>
      </c>
      <c r="H622" t="s">
        <v>865</v>
      </c>
      <c r="I622" t="s">
        <v>229</v>
      </c>
      <c r="J622" t="s">
        <v>230</v>
      </c>
      <c r="K622" t="s">
        <v>231</v>
      </c>
      <c r="L622" t="s">
        <v>232</v>
      </c>
      <c r="M622" t="s">
        <v>233</v>
      </c>
      <c r="O622" t="b">
        <f>IF(COUNTIFS($F$2:F622, F622, $P$2:P622, TRUE)&gt;1,TRUE,FALSE)</f>
        <v>0</v>
      </c>
      <c r="P622" t="b">
        <f>OR(ISNUMBER(MATCH(Checklist[[#This Row],[Type]], $B$3:$B$22, 0)), Checklist[[#This Row],[Type]] = "*")</f>
        <v>0</v>
      </c>
    </row>
    <row r="623" spans="4:16" x14ac:dyDescent="0.2">
      <c r="D623" t="s">
        <v>8</v>
      </c>
      <c r="E623" t="s">
        <v>212</v>
      </c>
      <c r="F623" t="s">
        <v>749</v>
      </c>
      <c r="G623" t="s">
        <v>866</v>
      </c>
      <c r="H623" t="s">
        <v>867</v>
      </c>
      <c r="I623" t="s">
        <v>13</v>
      </c>
      <c r="J623" t="s">
        <v>14</v>
      </c>
      <c r="O623" t="b">
        <f>IF(COUNTIFS($F$2:F623, F623, $P$2:P623, TRUE)&gt;1,TRUE,FALSE)</f>
        <v>0</v>
      </c>
      <c r="P623" t="b">
        <f>OR(ISNUMBER(MATCH(Checklist[[#This Row],[Type]], $B$3:$B$22, 0)), Checklist[[#This Row],[Type]] = "*")</f>
        <v>0</v>
      </c>
    </row>
    <row r="624" spans="4:16" x14ac:dyDescent="0.2">
      <c r="D624" t="s">
        <v>8</v>
      </c>
      <c r="E624" t="s">
        <v>212</v>
      </c>
      <c r="F624" t="s">
        <v>750</v>
      </c>
      <c r="G624" t="s">
        <v>213</v>
      </c>
      <c r="H624" t="s">
        <v>214</v>
      </c>
      <c r="I624" t="s">
        <v>13</v>
      </c>
      <c r="J624" t="s">
        <v>14</v>
      </c>
      <c r="O624" t="b">
        <f>IF(COUNTIFS($F$2:F624, F624, $P$2:P624, TRUE)&gt;1,TRUE,FALSE)</f>
        <v>0</v>
      </c>
      <c r="P624" t="b">
        <f>OR(ISNUMBER(MATCH(Checklist[[#This Row],[Type]], $B$3:$B$22, 0)), Checklist[[#This Row],[Type]] = "*")</f>
        <v>0</v>
      </c>
    </row>
    <row r="625" spans="4:16" x14ac:dyDescent="0.2">
      <c r="D625" t="s">
        <v>8</v>
      </c>
      <c r="E625" t="s">
        <v>212</v>
      </c>
      <c r="F625" t="s">
        <v>751</v>
      </c>
      <c r="G625" t="s">
        <v>215</v>
      </c>
      <c r="H625" t="s">
        <v>216</v>
      </c>
      <c r="I625" t="s">
        <v>13</v>
      </c>
      <c r="J625" t="s">
        <v>14</v>
      </c>
      <c r="O625" t="b">
        <f>IF(COUNTIFS($F$2:F625, F625, $P$2:P625, TRUE)&gt;1,TRUE,FALSE)</f>
        <v>0</v>
      </c>
      <c r="P625" t="b">
        <f>OR(ISNUMBER(MATCH(Checklist[[#This Row],[Type]], $B$3:$B$22, 0)), Checklist[[#This Row],[Type]] = "*")</f>
        <v>0</v>
      </c>
    </row>
    <row r="626" spans="4:16" x14ac:dyDescent="0.2">
      <c r="D626" t="s">
        <v>8</v>
      </c>
      <c r="E626" t="s">
        <v>355</v>
      </c>
      <c r="F626" t="s">
        <v>404</v>
      </c>
      <c r="G626" t="s">
        <v>405</v>
      </c>
      <c r="H626" t="s">
        <v>406</v>
      </c>
      <c r="I626" t="s">
        <v>13</v>
      </c>
      <c r="J626" t="s">
        <v>14</v>
      </c>
      <c r="O626" t="b">
        <f>IF(COUNTIFS($F$2:F626, F626, $P$2:P626, TRUE)&gt;1,TRUE,FALSE)</f>
        <v>0</v>
      </c>
      <c r="P626" t="b">
        <f>OR(ISNUMBER(MATCH(Checklist[[#This Row],[Type]], $B$3:$B$22, 0)), Checklist[[#This Row],[Type]] = "*")</f>
        <v>0</v>
      </c>
    </row>
    <row r="627" spans="4:16" x14ac:dyDescent="0.2">
      <c r="D627" t="s">
        <v>8</v>
      </c>
      <c r="E627" t="s">
        <v>355</v>
      </c>
      <c r="F627" t="s">
        <v>407</v>
      </c>
      <c r="G627" t="s">
        <v>408</v>
      </c>
      <c r="H627" t="s">
        <v>409</v>
      </c>
      <c r="I627" t="s">
        <v>13</v>
      </c>
      <c r="J627" t="s">
        <v>14</v>
      </c>
      <c r="O627" t="b">
        <f>IF(COUNTIFS($F$2:F627, F627, $P$2:P627, TRUE)&gt;1,TRUE,FALSE)</f>
        <v>0</v>
      </c>
      <c r="P627" t="b">
        <f>OR(ISNUMBER(MATCH(Checklist[[#This Row],[Type]], $B$3:$B$22, 0)), Checklist[[#This Row],[Type]] = "*")</f>
        <v>0</v>
      </c>
    </row>
    <row r="628" spans="4:16" x14ac:dyDescent="0.2">
      <c r="D628" t="s">
        <v>8</v>
      </c>
      <c r="E628" t="s">
        <v>355</v>
      </c>
      <c r="F628" t="s">
        <v>410</v>
      </c>
      <c r="G628" t="s">
        <v>411</v>
      </c>
      <c r="H628" t="s">
        <v>412</v>
      </c>
      <c r="I628" t="s">
        <v>13</v>
      </c>
      <c r="J628" t="s">
        <v>14</v>
      </c>
      <c r="O628" t="b">
        <f>IF(COUNTIFS($F$2:F628, F628, $P$2:P628, TRUE)&gt;1,TRUE,FALSE)</f>
        <v>0</v>
      </c>
      <c r="P628" t="b">
        <f>OR(ISNUMBER(MATCH(Checklist[[#This Row],[Type]], $B$3:$B$22, 0)), Checklist[[#This Row],[Type]] = "*")</f>
        <v>0</v>
      </c>
    </row>
    <row r="629" spans="4:16" x14ac:dyDescent="0.2">
      <c r="D629" t="s">
        <v>8</v>
      </c>
      <c r="E629" t="s">
        <v>355</v>
      </c>
      <c r="F629" t="s">
        <v>413</v>
      </c>
      <c r="G629" t="s">
        <v>414</v>
      </c>
      <c r="H629" t="s">
        <v>415</v>
      </c>
      <c r="I629" t="s">
        <v>13</v>
      </c>
      <c r="J629" t="s">
        <v>14</v>
      </c>
      <c r="O629" t="b">
        <f>IF(COUNTIFS($F$2:F629, F629, $P$2:P629, TRUE)&gt;1,TRUE,FALSE)</f>
        <v>0</v>
      </c>
      <c r="P629" t="b">
        <f>OR(ISNUMBER(MATCH(Checklist[[#This Row],[Type]], $B$3:$B$22, 0)), Checklist[[#This Row],[Type]] = "*")</f>
        <v>0</v>
      </c>
    </row>
    <row r="630" spans="4:16" x14ac:dyDescent="0.2">
      <c r="D630" t="s">
        <v>8</v>
      </c>
      <c r="E630" t="s">
        <v>355</v>
      </c>
      <c r="F630" t="s">
        <v>416</v>
      </c>
      <c r="G630" t="s">
        <v>417</v>
      </c>
      <c r="H630" t="s">
        <v>418</v>
      </c>
      <c r="I630" t="s">
        <v>13</v>
      </c>
      <c r="J630" t="s">
        <v>14</v>
      </c>
      <c r="O630" t="b">
        <f>IF(COUNTIFS($F$2:F630, F630, $P$2:P630, TRUE)&gt;1,TRUE,FALSE)</f>
        <v>0</v>
      </c>
      <c r="P630" t="b">
        <f>OR(ISNUMBER(MATCH(Checklist[[#This Row],[Type]], $B$3:$B$22, 0)), Checklist[[#This Row],[Type]] = "*")</f>
        <v>0</v>
      </c>
    </row>
    <row r="631" spans="4:16" x14ac:dyDescent="0.2">
      <c r="D631" t="s">
        <v>8</v>
      </c>
      <c r="E631" t="s">
        <v>355</v>
      </c>
      <c r="F631" t="s">
        <v>419</v>
      </c>
      <c r="G631" t="s">
        <v>420</v>
      </c>
      <c r="H631" t="s">
        <v>421</v>
      </c>
      <c r="I631" t="s">
        <v>13</v>
      </c>
      <c r="J631" t="s">
        <v>14</v>
      </c>
      <c r="O631" t="b">
        <f>IF(COUNTIFS($F$2:F631, F631, $P$2:P631, TRUE)&gt;1,TRUE,FALSE)</f>
        <v>0</v>
      </c>
      <c r="P631" t="b">
        <f>OR(ISNUMBER(MATCH(Checklist[[#This Row],[Type]], $B$3:$B$22, 0)), Checklist[[#This Row],[Type]] = "*")</f>
        <v>0</v>
      </c>
    </row>
    <row r="632" spans="4:16" x14ac:dyDescent="0.2">
      <c r="D632" t="s">
        <v>8</v>
      </c>
      <c r="E632" t="s">
        <v>355</v>
      </c>
      <c r="F632" t="s">
        <v>422</v>
      </c>
      <c r="G632" t="s">
        <v>423</v>
      </c>
      <c r="H632" t="s">
        <v>424</v>
      </c>
      <c r="I632" t="s">
        <v>13</v>
      </c>
      <c r="J632" t="s">
        <v>14</v>
      </c>
      <c r="O632" t="b">
        <f>IF(COUNTIFS($F$2:F632, F632, $P$2:P632, TRUE)&gt;1,TRUE,FALSE)</f>
        <v>0</v>
      </c>
      <c r="P632" t="b">
        <f>OR(ISNUMBER(MATCH(Checklist[[#This Row],[Type]], $B$3:$B$22, 0)), Checklist[[#This Row],[Type]] = "*")</f>
        <v>0</v>
      </c>
    </row>
    <row r="633" spans="4:16" x14ac:dyDescent="0.2">
      <c r="D633" t="s">
        <v>8</v>
      </c>
      <c r="E633" t="s">
        <v>355</v>
      </c>
      <c r="F633" t="s">
        <v>427</v>
      </c>
      <c r="G633" t="s">
        <v>133</v>
      </c>
      <c r="H633" t="s">
        <v>428</v>
      </c>
      <c r="I633" t="s">
        <v>13</v>
      </c>
      <c r="J633" t="s">
        <v>14</v>
      </c>
      <c r="O633" t="b">
        <f>IF(COUNTIFS($F$2:F633, F633, $P$2:P633, TRUE)&gt;1,TRUE,FALSE)</f>
        <v>0</v>
      </c>
      <c r="P633" t="b">
        <f>OR(ISNUMBER(MATCH(Checklist[[#This Row],[Type]], $B$3:$B$22, 0)), Checklist[[#This Row],[Type]] = "*")</f>
        <v>0</v>
      </c>
    </row>
    <row r="634" spans="4:16" x14ac:dyDescent="0.2">
      <c r="D634" t="s">
        <v>8</v>
      </c>
      <c r="E634" t="s">
        <v>355</v>
      </c>
      <c r="F634" t="s">
        <v>752</v>
      </c>
      <c r="G634" t="s">
        <v>753</v>
      </c>
      <c r="H634" t="s">
        <v>754</v>
      </c>
      <c r="I634" t="s">
        <v>13</v>
      </c>
      <c r="J634" t="s">
        <v>14</v>
      </c>
      <c r="O634" t="b">
        <f>IF(COUNTIFS($F$2:F634, F634, $P$2:P634, TRUE)&gt;1,TRUE,FALSE)</f>
        <v>0</v>
      </c>
      <c r="P634" t="b">
        <f>OR(ISNUMBER(MATCH(Checklist[[#This Row],[Type]], $B$3:$B$22, 0)), Checklist[[#This Row],[Type]] = "*")</f>
        <v>0</v>
      </c>
    </row>
    <row r="635" spans="4:16" x14ac:dyDescent="0.2">
      <c r="D635" t="s">
        <v>8</v>
      </c>
      <c r="E635" t="s">
        <v>217</v>
      </c>
      <c r="F635" t="s">
        <v>488</v>
      </c>
      <c r="G635" t="s">
        <v>442</v>
      </c>
      <c r="H635" t="s">
        <v>443</v>
      </c>
      <c r="I635" t="s">
        <v>13</v>
      </c>
      <c r="J635" t="s">
        <v>14</v>
      </c>
      <c r="O635" t="b">
        <f>IF(COUNTIFS($F$2:F635, F635, $P$2:P635, TRUE)&gt;1,TRUE,FALSE)</f>
        <v>0</v>
      </c>
      <c r="P635" t="b">
        <f>OR(ISNUMBER(MATCH(Checklist[[#This Row],[Type]], $B$3:$B$22, 0)), Checklist[[#This Row],[Type]] = "*")</f>
        <v>0</v>
      </c>
    </row>
    <row r="636" spans="4:16" x14ac:dyDescent="0.2">
      <c r="D636" t="s">
        <v>8</v>
      </c>
      <c r="E636" t="s">
        <v>217</v>
      </c>
      <c r="F636" t="s">
        <v>489</v>
      </c>
      <c r="G636" t="s">
        <v>490</v>
      </c>
      <c r="H636" t="s">
        <v>491</v>
      </c>
      <c r="I636" t="s">
        <v>13</v>
      </c>
      <c r="J636" t="s">
        <v>14</v>
      </c>
      <c r="O636" t="b">
        <f>IF(COUNTIFS($F$2:F636, F636, $P$2:P636, TRUE)&gt;1,TRUE,FALSE)</f>
        <v>0</v>
      </c>
      <c r="P636" t="b">
        <f>OR(ISNUMBER(MATCH(Checklist[[#This Row],[Type]], $B$3:$B$22, 0)), Checklist[[#This Row],[Type]] = "*")</f>
        <v>0</v>
      </c>
    </row>
    <row r="637" spans="4:16" x14ac:dyDescent="0.2">
      <c r="D637" t="s">
        <v>8</v>
      </c>
      <c r="E637" t="s">
        <v>217</v>
      </c>
      <c r="F637" t="s">
        <v>492</v>
      </c>
      <c r="G637" t="s">
        <v>423</v>
      </c>
      <c r="H637" t="s">
        <v>424</v>
      </c>
      <c r="I637" t="s">
        <v>13</v>
      </c>
      <c r="J637" t="s">
        <v>14</v>
      </c>
      <c r="O637" t="b">
        <f>IF(COUNTIFS($F$2:F637, F637, $P$2:P637, TRUE)&gt;1,TRUE,FALSE)</f>
        <v>0</v>
      </c>
      <c r="P637" t="b">
        <f>OR(ISNUMBER(MATCH(Checklist[[#This Row],[Type]], $B$3:$B$22, 0)), Checklist[[#This Row],[Type]] = "*")</f>
        <v>0</v>
      </c>
    </row>
    <row r="638" spans="4:16" x14ac:dyDescent="0.2">
      <c r="D638" t="s">
        <v>8</v>
      </c>
      <c r="E638" t="s">
        <v>217</v>
      </c>
      <c r="F638" t="s">
        <v>493</v>
      </c>
      <c r="G638" t="s">
        <v>204</v>
      </c>
      <c r="H638" t="s">
        <v>426</v>
      </c>
      <c r="I638" t="s">
        <v>13</v>
      </c>
      <c r="J638" t="s">
        <v>14</v>
      </c>
      <c r="O638" t="b">
        <f>IF(COUNTIFS($F$2:F638, F638, $P$2:P638, TRUE)&gt;1,TRUE,FALSE)</f>
        <v>0</v>
      </c>
      <c r="P638" t="b">
        <f>OR(ISNUMBER(MATCH(Checklist[[#This Row],[Type]], $B$3:$B$22, 0)), Checklist[[#This Row],[Type]] = "*")</f>
        <v>0</v>
      </c>
    </row>
    <row r="639" spans="4:16" x14ac:dyDescent="0.2">
      <c r="D639" t="s">
        <v>8</v>
      </c>
      <c r="E639" t="s">
        <v>217</v>
      </c>
      <c r="F639" t="s">
        <v>494</v>
      </c>
      <c r="G639" t="s">
        <v>495</v>
      </c>
      <c r="H639" t="s">
        <v>496</v>
      </c>
      <c r="I639" t="s">
        <v>13</v>
      </c>
      <c r="J639" t="s">
        <v>14</v>
      </c>
      <c r="O639" t="b">
        <f>IF(COUNTIFS($F$2:F639, F639, $P$2:P639, TRUE)&gt;1,TRUE,FALSE)</f>
        <v>0</v>
      </c>
      <c r="P639" t="b">
        <f>OR(ISNUMBER(MATCH(Checklist[[#This Row],[Type]], $B$3:$B$22, 0)), Checklist[[#This Row],[Type]] = "*")</f>
        <v>0</v>
      </c>
    </row>
    <row r="640" spans="4:16" x14ac:dyDescent="0.2">
      <c r="D640" t="s">
        <v>8</v>
      </c>
      <c r="E640" t="s">
        <v>217</v>
      </c>
      <c r="F640" t="s">
        <v>755</v>
      </c>
      <c r="G640" t="s">
        <v>756</v>
      </c>
      <c r="H640" t="s">
        <v>757</v>
      </c>
      <c r="I640" t="s">
        <v>13</v>
      </c>
      <c r="J640" t="s">
        <v>14</v>
      </c>
      <c r="O640" t="b">
        <f>IF(COUNTIFS($F$2:F640, F640, $P$2:P640, TRUE)&gt;1,TRUE,FALSE)</f>
        <v>0</v>
      </c>
      <c r="P640" t="b">
        <f>OR(ISNUMBER(MATCH(Checklist[[#This Row],[Type]], $B$3:$B$22, 0)), Checklist[[#This Row],[Type]] = "*")</f>
        <v>0</v>
      </c>
    </row>
    <row r="641" spans="4:16" x14ac:dyDescent="0.2">
      <c r="D641" t="s">
        <v>8</v>
      </c>
      <c r="E641" t="s">
        <v>217</v>
      </c>
      <c r="F641" t="s">
        <v>758</v>
      </c>
      <c r="G641" t="s">
        <v>759</v>
      </c>
      <c r="H641" t="s">
        <v>760</v>
      </c>
      <c r="I641" t="s">
        <v>13</v>
      </c>
      <c r="J641" t="s">
        <v>14</v>
      </c>
      <c r="O641" t="b">
        <f>IF(COUNTIFS($F$2:F641, F641, $P$2:P641, TRUE)&gt;1,TRUE,FALSE)</f>
        <v>0</v>
      </c>
      <c r="P641" t="b">
        <f>OR(ISNUMBER(MATCH(Checklist[[#This Row],[Type]], $B$3:$B$22, 0)), Checklist[[#This Row],[Type]] = "*")</f>
        <v>0</v>
      </c>
    </row>
    <row r="642" spans="4:16" x14ac:dyDescent="0.2">
      <c r="D642" t="s">
        <v>8</v>
      </c>
      <c r="E642" t="s">
        <v>218</v>
      </c>
      <c r="F642" t="s">
        <v>404</v>
      </c>
      <c r="G642" t="s">
        <v>405</v>
      </c>
      <c r="H642" t="s">
        <v>406</v>
      </c>
      <c r="I642" t="s">
        <v>13</v>
      </c>
      <c r="J642" t="s">
        <v>14</v>
      </c>
      <c r="O642" t="b">
        <f>IF(COUNTIFS($F$2:F642, F642, $P$2:P642, TRUE)&gt;1,TRUE,FALSE)</f>
        <v>0</v>
      </c>
      <c r="P642" t="b">
        <f>OR(ISNUMBER(MATCH(Checklist[[#This Row],[Type]], $B$3:$B$22, 0)), Checklist[[#This Row],[Type]] = "*")</f>
        <v>0</v>
      </c>
    </row>
    <row r="643" spans="4:16" x14ac:dyDescent="0.2">
      <c r="D643" t="s">
        <v>8</v>
      </c>
      <c r="E643" t="s">
        <v>218</v>
      </c>
      <c r="F643" t="s">
        <v>407</v>
      </c>
      <c r="G643" t="s">
        <v>408</v>
      </c>
      <c r="H643" t="s">
        <v>409</v>
      </c>
      <c r="I643" t="s">
        <v>13</v>
      </c>
      <c r="J643" t="s">
        <v>14</v>
      </c>
      <c r="O643" t="b">
        <f>IF(COUNTIFS($F$2:F643, F643, $P$2:P643, TRUE)&gt;1,TRUE,FALSE)</f>
        <v>0</v>
      </c>
      <c r="P643" t="b">
        <f>OR(ISNUMBER(MATCH(Checklist[[#This Row],[Type]], $B$3:$B$22, 0)), Checklist[[#This Row],[Type]] = "*")</f>
        <v>0</v>
      </c>
    </row>
    <row r="644" spans="4:16" x14ac:dyDescent="0.2">
      <c r="D644" t="s">
        <v>8</v>
      </c>
      <c r="E644" t="s">
        <v>218</v>
      </c>
      <c r="F644" t="s">
        <v>410</v>
      </c>
      <c r="G644" t="s">
        <v>411</v>
      </c>
      <c r="H644" t="s">
        <v>412</v>
      </c>
      <c r="I644" t="s">
        <v>13</v>
      </c>
      <c r="J644" t="s">
        <v>14</v>
      </c>
      <c r="O644" t="b">
        <f>IF(COUNTIFS($F$2:F644, F644, $P$2:P644, TRUE)&gt;1,TRUE,FALSE)</f>
        <v>0</v>
      </c>
      <c r="P644" t="b">
        <f>OR(ISNUMBER(MATCH(Checklist[[#This Row],[Type]], $B$3:$B$22, 0)), Checklist[[#This Row],[Type]] = "*")</f>
        <v>0</v>
      </c>
    </row>
    <row r="645" spans="4:16" x14ac:dyDescent="0.2">
      <c r="D645" t="s">
        <v>8</v>
      </c>
      <c r="E645" t="s">
        <v>218</v>
      </c>
      <c r="F645" t="s">
        <v>413</v>
      </c>
      <c r="G645" t="s">
        <v>414</v>
      </c>
      <c r="H645" t="s">
        <v>415</v>
      </c>
      <c r="I645" t="s">
        <v>13</v>
      </c>
      <c r="J645" t="s">
        <v>14</v>
      </c>
      <c r="O645" t="b">
        <f>IF(COUNTIFS($F$2:F645, F645, $P$2:P645, TRUE)&gt;1,TRUE,FALSE)</f>
        <v>0</v>
      </c>
      <c r="P645" t="b">
        <f>OR(ISNUMBER(MATCH(Checklist[[#This Row],[Type]], $B$3:$B$22, 0)), Checklist[[#This Row],[Type]] = "*")</f>
        <v>0</v>
      </c>
    </row>
    <row r="646" spans="4:16" x14ac:dyDescent="0.2">
      <c r="D646" t="s">
        <v>8</v>
      </c>
      <c r="E646" t="s">
        <v>218</v>
      </c>
      <c r="F646" t="s">
        <v>416</v>
      </c>
      <c r="G646" t="s">
        <v>417</v>
      </c>
      <c r="H646" t="s">
        <v>418</v>
      </c>
      <c r="I646" t="s">
        <v>13</v>
      </c>
      <c r="J646" t="s">
        <v>14</v>
      </c>
      <c r="O646" t="b">
        <f>IF(COUNTIFS($F$2:F646, F646, $P$2:P646, TRUE)&gt;1,TRUE,FALSE)</f>
        <v>0</v>
      </c>
      <c r="P646" t="b">
        <f>OR(ISNUMBER(MATCH(Checklist[[#This Row],[Type]], $B$3:$B$22, 0)), Checklist[[#This Row],[Type]] = "*")</f>
        <v>0</v>
      </c>
    </row>
    <row r="647" spans="4:16" x14ac:dyDescent="0.2">
      <c r="D647" t="s">
        <v>8</v>
      </c>
      <c r="E647" t="s">
        <v>218</v>
      </c>
      <c r="F647" t="s">
        <v>419</v>
      </c>
      <c r="G647" t="s">
        <v>420</v>
      </c>
      <c r="H647" t="s">
        <v>421</v>
      </c>
      <c r="I647" t="s">
        <v>13</v>
      </c>
      <c r="J647" t="s">
        <v>14</v>
      </c>
      <c r="O647" t="b">
        <f>IF(COUNTIFS($F$2:F647, F647, $P$2:P647, TRUE)&gt;1,TRUE,FALSE)</f>
        <v>0</v>
      </c>
      <c r="P647" t="b">
        <f>OR(ISNUMBER(MATCH(Checklist[[#This Row],[Type]], $B$3:$B$22, 0)), Checklist[[#This Row],[Type]] = "*")</f>
        <v>0</v>
      </c>
    </row>
    <row r="648" spans="4:16" x14ac:dyDescent="0.2">
      <c r="D648" t="s">
        <v>8</v>
      </c>
      <c r="E648" t="s">
        <v>218</v>
      </c>
      <c r="F648" t="s">
        <v>422</v>
      </c>
      <c r="G648" t="s">
        <v>423</v>
      </c>
      <c r="H648" t="s">
        <v>424</v>
      </c>
      <c r="I648" t="s">
        <v>13</v>
      </c>
      <c r="J648" t="s">
        <v>14</v>
      </c>
      <c r="O648" t="b">
        <f>IF(COUNTIFS($F$2:F648, F648, $P$2:P648, TRUE)&gt;1,TRUE,FALSE)</f>
        <v>0</v>
      </c>
      <c r="P648" t="b">
        <f>OR(ISNUMBER(MATCH(Checklist[[#This Row],[Type]], $B$3:$B$22, 0)), Checklist[[#This Row],[Type]] = "*")</f>
        <v>0</v>
      </c>
    </row>
    <row r="649" spans="4:16" x14ac:dyDescent="0.2">
      <c r="D649" t="s">
        <v>8</v>
      </c>
      <c r="E649" t="s">
        <v>218</v>
      </c>
      <c r="F649" t="s">
        <v>425</v>
      </c>
      <c r="G649" t="s">
        <v>204</v>
      </c>
      <c r="H649" t="s">
        <v>426</v>
      </c>
      <c r="I649" t="s">
        <v>13</v>
      </c>
      <c r="J649" t="s">
        <v>14</v>
      </c>
      <c r="O649" t="b">
        <f>IF(COUNTIFS($F$2:F649, F649, $P$2:P649, TRUE)&gt;1,TRUE,FALSE)</f>
        <v>0</v>
      </c>
      <c r="P649" t="b">
        <f>OR(ISNUMBER(MATCH(Checklist[[#This Row],[Type]], $B$3:$B$22, 0)), Checklist[[#This Row],[Type]] = "*")</f>
        <v>0</v>
      </c>
    </row>
    <row r="650" spans="4:16" x14ac:dyDescent="0.2">
      <c r="D650" t="s">
        <v>8</v>
      </c>
      <c r="E650" t="s">
        <v>218</v>
      </c>
      <c r="F650" t="s">
        <v>427</v>
      </c>
      <c r="G650" t="s">
        <v>133</v>
      </c>
      <c r="H650" t="s">
        <v>428</v>
      </c>
      <c r="I650" t="s">
        <v>13</v>
      </c>
      <c r="J650" t="s">
        <v>14</v>
      </c>
      <c r="O650" t="b">
        <f>IF(COUNTIFS($F$2:F650, F650, $P$2:P650, TRUE)&gt;1,TRUE,FALSE)</f>
        <v>0</v>
      </c>
      <c r="P650" t="b">
        <f>OR(ISNUMBER(MATCH(Checklist[[#This Row],[Type]], $B$3:$B$22, 0)), Checklist[[#This Row],[Type]] = "*")</f>
        <v>0</v>
      </c>
    </row>
    <row r="651" spans="4:16" x14ac:dyDescent="0.2">
      <c r="D651" t="s">
        <v>8</v>
      </c>
      <c r="E651" t="s">
        <v>218</v>
      </c>
      <c r="F651" t="s">
        <v>761</v>
      </c>
      <c r="G651" t="s">
        <v>762</v>
      </c>
      <c r="H651" t="s">
        <v>763</v>
      </c>
      <c r="I651" t="s">
        <v>13</v>
      </c>
      <c r="J651" t="s">
        <v>14</v>
      </c>
      <c r="O651" t="b">
        <f>IF(COUNTIFS($F$2:F651, F651, $P$2:P651, TRUE)&gt;1,TRUE,FALSE)</f>
        <v>0</v>
      </c>
      <c r="P651" t="b">
        <f>OR(ISNUMBER(MATCH(Checklist[[#This Row],[Type]], $B$3:$B$22, 0)), Checklist[[#This Row],[Type]] = "*")</f>
        <v>0</v>
      </c>
    </row>
    <row r="652" spans="4:16" x14ac:dyDescent="0.2">
      <c r="D652" t="s">
        <v>8</v>
      </c>
      <c r="E652" t="s">
        <v>218</v>
      </c>
      <c r="F652" t="s">
        <v>764</v>
      </c>
      <c r="G652" t="s">
        <v>54</v>
      </c>
      <c r="H652" t="s">
        <v>765</v>
      </c>
      <c r="I652" t="s">
        <v>13</v>
      </c>
      <c r="J652" t="s">
        <v>14</v>
      </c>
      <c r="O652" t="b">
        <f>IF(COUNTIFS($F$2:F652, F652, $P$2:P652, TRUE)&gt;1,TRUE,FALSE)</f>
        <v>0</v>
      </c>
      <c r="P652" t="b">
        <f>OR(ISNUMBER(MATCH(Checklist[[#This Row],[Type]], $B$3:$B$22, 0)), Checklist[[#This Row],[Type]] = "*")</f>
        <v>0</v>
      </c>
    </row>
    <row r="653" spans="4:16" x14ac:dyDescent="0.2">
      <c r="D653" t="s">
        <v>8</v>
      </c>
      <c r="E653" t="s">
        <v>218</v>
      </c>
      <c r="F653" t="s">
        <v>766</v>
      </c>
      <c r="G653" t="s">
        <v>445</v>
      </c>
      <c r="H653" t="s">
        <v>446</v>
      </c>
      <c r="I653" t="s">
        <v>13</v>
      </c>
      <c r="J653" t="s">
        <v>14</v>
      </c>
      <c r="O653" t="b">
        <f>IF(COUNTIFS($F$2:F653, F653, $P$2:P653, TRUE)&gt;1,TRUE,FALSE)</f>
        <v>0</v>
      </c>
      <c r="P653" t="b">
        <f>OR(ISNUMBER(MATCH(Checklist[[#This Row],[Type]], $B$3:$B$22, 0)), Checklist[[#This Row],[Type]] = "*")</f>
        <v>0</v>
      </c>
    </row>
    <row r="654" spans="4:16" x14ac:dyDescent="0.2">
      <c r="D654" t="s">
        <v>8</v>
      </c>
      <c r="E654" t="s">
        <v>219</v>
      </c>
      <c r="F654" t="s">
        <v>767</v>
      </c>
      <c r="G654" t="s">
        <v>768</v>
      </c>
      <c r="H654" t="s">
        <v>769</v>
      </c>
      <c r="I654" t="s">
        <v>13</v>
      </c>
      <c r="J654" t="s">
        <v>14</v>
      </c>
      <c r="O654" t="b">
        <f>IF(COUNTIFS($F$2:F654, F654, $P$2:P654, TRUE)&gt;1,TRUE,FALSE)</f>
        <v>0</v>
      </c>
      <c r="P654" t="b">
        <f>OR(ISNUMBER(MATCH(Checklist[[#This Row],[Type]], $B$3:$B$22, 0)), Checklist[[#This Row],[Type]] = "*")</f>
        <v>0</v>
      </c>
    </row>
    <row r="655" spans="4:16" x14ac:dyDescent="0.2">
      <c r="D655" t="s">
        <v>8</v>
      </c>
      <c r="E655" t="s">
        <v>219</v>
      </c>
      <c r="F655" t="s">
        <v>770</v>
      </c>
      <c r="G655" t="s">
        <v>56</v>
      </c>
      <c r="H655" t="s">
        <v>771</v>
      </c>
      <c r="I655" t="s">
        <v>13</v>
      </c>
      <c r="J655" t="s">
        <v>14</v>
      </c>
      <c r="O655" t="b">
        <f>IF(COUNTIFS($F$2:F655, F655, $P$2:P655, TRUE)&gt;1,TRUE,FALSE)</f>
        <v>0</v>
      </c>
      <c r="P655" t="b">
        <f>OR(ISNUMBER(MATCH(Checklist[[#This Row],[Type]], $B$3:$B$22, 0)), Checklist[[#This Row],[Type]] = "*")</f>
        <v>0</v>
      </c>
    </row>
    <row r="656" spans="4:16" x14ac:dyDescent="0.2">
      <c r="D656" t="s">
        <v>8</v>
      </c>
      <c r="E656" t="s">
        <v>219</v>
      </c>
      <c r="F656" t="s">
        <v>868</v>
      </c>
      <c r="G656" t="s">
        <v>644</v>
      </c>
      <c r="H656" t="s">
        <v>869</v>
      </c>
      <c r="I656" t="s">
        <v>13</v>
      </c>
      <c r="J656" t="s">
        <v>14</v>
      </c>
      <c r="O656" t="b">
        <f>IF(COUNTIFS($F$2:F656, F656, $P$2:P656, TRUE)&gt;1,TRUE,FALSE)</f>
        <v>0</v>
      </c>
      <c r="P656" t="b">
        <f>OR(ISNUMBER(MATCH(Checklist[[#This Row],[Type]], $B$3:$B$22, 0)), Checklist[[#This Row],[Type]] = "*")</f>
        <v>0</v>
      </c>
    </row>
    <row r="657" spans="4:16" x14ac:dyDescent="0.2">
      <c r="D657" t="s">
        <v>8</v>
      </c>
      <c r="E657" t="s">
        <v>220</v>
      </c>
      <c r="F657" t="s">
        <v>404</v>
      </c>
      <c r="G657" t="s">
        <v>405</v>
      </c>
      <c r="H657" t="s">
        <v>406</v>
      </c>
      <c r="I657" t="s">
        <v>13</v>
      </c>
      <c r="J657" t="s">
        <v>14</v>
      </c>
      <c r="O657" t="b">
        <f>IF(COUNTIFS($F$2:F657, F657, $P$2:P657, TRUE)&gt;1,TRUE,FALSE)</f>
        <v>0</v>
      </c>
      <c r="P657" t="b">
        <f>OR(ISNUMBER(MATCH(Checklist[[#This Row],[Type]], $B$3:$B$22, 0)), Checklist[[#This Row],[Type]] = "*")</f>
        <v>0</v>
      </c>
    </row>
    <row r="658" spans="4:16" x14ac:dyDescent="0.2">
      <c r="D658" t="s">
        <v>8</v>
      </c>
      <c r="E658" t="s">
        <v>220</v>
      </c>
      <c r="F658" t="s">
        <v>407</v>
      </c>
      <c r="G658" t="s">
        <v>408</v>
      </c>
      <c r="H658" t="s">
        <v>409</v>
      </c>
      <c r="I658" t="s">
        <v>13</v>
      </c>
      <c r="J658" t="s">
        <v>14</v>
      </c>
      <c r="O658" t="b">
        <f>IF(COUNTIFS($F$2:F658, F658, $P$2:P658, TRUE)&gt;1,TRUE,FALSE)</f>
        <v>0</v>
      </c>
      <c r="P658" t="b">
        <f>OR(ISNUMBER(MATCH(Checklist[[#This Row],[Type]], $B$3:$B$22, 0)), Checklist[[#This Row],[Type]] = "*")</f>
        <v>0</v>
      </c>
    </row>
    <row r="659" spans="4:16" x14ac:dyDescent="0.2">
      <c r="D659" t="s">
        <v>8</v>
      </c>
      <c r="E659" t="s">
        <v>220</v>
      </c>
      <c r="F659" t="s">
        <v>410</v>
      </c>
      <c r="G659" t="s">
        <v>411</v>
      </c>
      <c r="H659" t="s">
        <v>412</v>
      </c>
      <c r="I659" t="s">
        <v>13</v>
      </c>
      <c r="J659" t="s">
        <v>14</v>
      </c>
      <c r="O659" t="b">
        <f>IF(COUNTIFS($F$2:F659, F659, $P$2:P659, TRUE)&gt;1,TRUE,FALSE)</f>
        <v>0</v>
      </c>
      <c r="P659" t="b">
        <f>OR(ISNUMBER(MATCH(Checklist[[#This Row],[Type]], $B$3:$B$22, 0)), Checklist[[#This Row],[Type]] = "*")</f>
        <v>0</v>
      </c>
    </row>
    <row r="660" spans="4:16" x14ac:dyDescent="0.2">
      <c r="D660" t="s">
        <v>8</v>
      </c>
      <c r="E660" t="s">
        <v>220</v>
      </c>
      <c r="F660" t="s">
        <v>413</v>
      </c>
      <c r="G660" t="s">
        <v>414</v>
      </c>
      <c r="H660" t="s">
        <v>415</v>
      </c>
      <c r="I660" t="s">
        <v>13</v>
      </c>
      <c r="J660" t="s">
        <v>14</v>
      </c>
      <c r="O660" t="b">
        <f>IF(COUNTIFS($F$2:F660, F660, $P$2:P660, TRUE)&gt;1,TRUE,FALSE)</f>
        <v>0</v>
      </c>
      <c r="P660" t="b">
        <f>OR(ISNUMBER(MATCH(Checklist[[#This Row],[Type]], $B$3:$B$22, 0)), Checklist[[#This Row],[Type]] = "*")</f>
        <v>0</v>
      </c>
    </row>
    <row r="661" spans="4:16" x14ac:dyDescent="0.2">
      <c r="D661" t="s">
        <v>8</v>
      </c>
      <c r="E661" t="s">
        <v>220</v>
      </c>
      <c r="F661" t="s">
        <v>416</v>
      </c>
      <c r="G661" t="s">
        <v>417</v>
      </c>
      <c r="H661" t="s">
        <v>418</v>
      </c>
      <c r="I661" t="s">
        <v>13</v>
      </c>
      <c r="J661" t="s">
        <v>14</v>
      </c>
      <c r="O661" t="b">
        <f>IF(COUNTIFS($F$2:F661, F661, $P$2:P661, TRUE)&gt;1,TRUE,FALSE)</f>
        <v>0</v>
      </c>
      <c r="P661" t="b">
        <f>OR(ISNUMBER(MATCH(Checklist[[#This Row],[Type]], $B$3:$B$22, 0)), Checklist[[#This Row],[Type]] = "*")</f>
        <v>0</v>
      </c>
    </row>
    <row r="662" spans="4:16" x14ac:dyDescent="0.2">
      <c r="D662" t="s">
        <v>8</v>
      </c>
      <c r="E662" t="s">
        <v>220</v>
      </c>
      <c r="F662" t="s">
        <v>419</v>
      </c>
      <c r="G662" t="s">
        <v>420</v>
      </c>
      <c r="H662" t="s">
        <v>421</v>
      </c>
      <c r="I662" t="s">
        <v>13</v>
      </c>
      <c r="J662" t="s">
        <v>14</v>
      </c>
      <c r="O662" t="b">
        <f>IF(COUNTIFS($F$2:F662, F662, $P$2:P662, TRUE)&gt;1,TRUE,FALSE)</f>
        <v>0</v>
      </c>
      <c r="P662" t="b">
        <f>OR(ISNUMBER(MATCH(Checklist[[#This Row],[Type]], $B$3:$B$22, 0)), Checklist[[#This Row],[Type]] = "*")</f>
        <v>0</v>
      </c>
    </row>
    <row r="663" spans="4:16" x14ac:dyDescent="0.2">
      <c r="D663" t="s">
        <v>8</v>
      </c>
      <c r="E663" t="s">
        <v>220</v>
      </c>
      <c r="F663" t="s">
        <v>422</v>
      </c>
      <c r="G663" t="s">
        <v>423</v>
      </c>
      <c r="H663" t="s">
        <v>424</v>
      </c>
      <c r="I663" t="s">
        <v>13</v>
      </c>
      <c r="J663" t="s">
        <v>14</v>
      </c>
      <c r="O663" t="b">
        <f>IF(COUNTIFS($F$2:F663, F663, $P$2:P663, TRUE)&gt;1,TRUE,FALSE)</f>
        <v>0</v>
      </c>
      <c r="P663" t="b">
        <f>OR(ISNUMBER(MATCH(Checklist[[#This Row],[Type]], $B$3:$B$22, 0)), Checklist[[#This Row],[Type]] = "*")</f>
        <v>0</v>
      </c>
    </row>
    <row r="664" spans="4:16" x14ac:dyDescent="0.2">
      <c r="D664" t="s">
        <v>8</v>
      </c>
      <c r="E664" t="s">
        <v>220</v>
      </c>
      <c r="F664" t="s">
        <v>425</v>
      </c>
      <c r="G664" t="s">
        <v>204</v>
      </c>
      <c r="H664" t="s">
        <v>426</v>
      </c>
      <c r="I664" t="s">
        <v>13</v>
      </c>
      <c r="J664" t="s">
        <v>14</v>
      </c>
      <c r="O664" t="b">
        <f>IF(COUNTIFS($F$2:F664, F664, $P$2:P664, TRUE)&gt;1,TRUE,FALSE)</f>
        <v>0</v>
      </c>
      <c r="P664" t="b">
        <f>OR(ISNUMBER(MATCH(Checklist[[#This Row],[Type]], $B$3:$B$22, 0)), Checklist[[#This Row],[Type]] = "*")</f>
        <v>0</v>
      </c>
    </row>
    <row r="665" spans="4:16" x14ac:dyDescent="0.2">
      <c r="D665" t="s">
        <v>8</v>
      </c>
      <c r="E665" t="s">
        <v>220</v>
      </c>
      <c r="F665" t="s">
        <v>427</v>
      </c>
      <c r="G665" t="s">
        <v>133</v>
      </c>
      <c r="H665" t="s">
        <v>428</v>
      </c>
      <c r="I665" t="s">
        <v>13</v>
      </c>
      <c r="J665" t="s">
        <v>14</v>
      </c>
      <c r="O665" t="b">
        <f>IF(COUNTIFS($F$2:F665, F665, $P$2:P665, TRUE)&gt;1,TRUE,FALSE)</f>
        <v>0</v>
      </c>
      <c r="P665" t="b">
        <f>OR(ISNUMBER(MATCH(Checklist[[#This Row],[Type]], $B$3:$B$22, 0)), Checklist[[#This Row],[Type]] = "*")</f>
        <v>0</v>
      </c>
    </row>
    <row r="666" spans="4:16" x14ac:dyDescent="0.2">
      <c r="D666" t="s">
        <v>8</v>
      </c>
      <c r="E666" t="s">
        <v>220</v>
      </c>
      <c r="F666" t="s">
        <v>772</v>
      </c>
      <c r="G666" t="s">
        <v>773</v>
      </c>
      <c r="H666" t="s">
        <v>774</v>
      </c>
      <c r="I666" t="s">
        <v>13</v>
      </c>
      <c r="J666" t="s">
        <v>14</v>
      </c>
      <c r="O666" t="b">
        <f>IF(COUNTIFS($F$2:F666, F666, $P$2:P666, TRUE)&gt;1,TRUE,FALSE)</f>
        <v>0</v>
      </c>
      <c r="P666" t="b">
        <f>OR(ISNUMBER(MATCH(Checklist[[#This Row],[Type]], $B$3:$B$22, 0)), Checklist[[#This Row],[Type]] = "*")</f>
        <v>0</v>
      </c>
    </row>
    <row r="667" spans="4:16" x14ac:dyDescent="0.2">
      <c r="D667" t="s">
        <v>8</v>
      </c>
      <c r="E667" t="s">
        <v>220</v>
      </c>
      <c r="F667" t="s">
        <v>775</v>
      </c>
      <c r="G667" t="s">
        <v>776</v>
      </c>
      <c r="H667" t="s">
        <v>777</v>
      </c>
      <c r="I667" t="s">
        <v>13</v>
      </c>
      <c r="J667" t="s">
        <v>14</v>
      </c>
      <c r="O667" t="b">
        <f>IF(COUNTIFS($F$2:F667, F667, $P$2:P667, TRUE)&gt;1,TRUE,FALSE)</f>
        <v>0</v>
      </c>
      <c r="P667" t="b">
        <f>OR(ISNUMBER(MATCH(Checklist[[#This Row],[Type]], $B$3:$B$22, 0)), Checklist[[#This Row],[Type]] = "*")</f>
        <v>0</v>
      </c>
    </row>
    <row r="668" spans="4:16" x14ac:dyDescent="0.2">
      <c r="D668" t="s">
        <v>8</v>
      </c>
      <c r="E668" t="s">
        <v>220</v>
      </c>
      <c r="F668" t="s">
        <v>778</v>
      </c>
      <c r="G668" t="s">
        <v>779</v>
      </c>
      <c r="H668" t="s">
        <v>780</v>
      </c>
      <c r="I668" t="s">
        <v>13</v>
      </c>
      <c r="J668" t="s">
        <v>14</v>
      </c>
      <c r="O668" t="b">
        <f>IF(COUNTIFS($F$2:F668, F668, $P$2:P668, TRUE)&gt;1,TRUE,FALSE)</f>
        <v>0</v>
      </c>
      <c r="P668" t="b">
        <f>OR(ISNUMBER(MATCH(Checklist[[#This Row],[Type]], $B$3:$B$22, 0)), Checklist[[#This Row],[Type]] = "*")</f>
        <v>0</v>
      </c>
    </row>
    <row r="669" spans="4:16" x14ac:dyDescent="0.2">
      <c r="D669" t="s">
        <v>8</v>
      </c>
      <c r="E669" t="s">
        <v>221</v>
      </c>
      <c r="F669" t="s">
        <v>606</v>
      </c>
      <c r="G669" t="s">
        <v>411</v>
      </c>
      <c r="H669" t="s">
        <v>412</v>
      </c>
      <c r="I669" t="s">
        <v>13</v>
      </c>
      <c r="J669" t="s">
        <v>14</v>
      </c>
      <c r="O669" t="b">
        <f>IF(COUNTIFS($F$2:F669, F669, $P$2:P669, TRUE)&gt;1,TRUE,FALSE)</f>
        <v>0</v>
      </c>
      <c r="P669" t="b">
        <f>OR(ISNUMBER(MATCH(Checklist[[#This Row],[Type]], $B$3:$B$22, 0)), Checklist[[#This Row],[Type]] = "*")</f>
        <v>0</v>
      </c>
    </row>
    <row r="670" spans="4:16" x14ac:dyDescent="0.2">
      <c r="D670" t="s">
        <v>8</v>
      </c>
      <c r="E670" t="s">
        <v>221</v>
      </c>
      <c r="F670" t="s">
        <v>607</v>
      </c>
      <c r="G670" t="s">
        <v>442</v>
      </c>
      <c r="H670" t="s">
        <v>443</v>
      </c>
      <c r="I670" t="s">
        <v>13</v>
      </c>
      <c r="J670" t="s">
        <v>14</v>
      </c>
      <c r="O670" t="b">
        <f>IF(COUNTIFS($F$2:F670, F670, $P$2:P670, TRUE)&gt;1,TRUE,FALSE)</f>
        <v>0</v>
      </c>
      <c r="P670" t="b">
        <f>OR(ISNUMBER(MATCH(Checklist[[#This Row],[Type]], $B$3:$B$22, 0)), Checklist[[#This Row],[Type]] = "*")</f>
        <v>0</v>
      </c>
    </row>
    <row r="671" spans="4:16" x14ac:dyDescent="0.2">
      <c r="D671" t="s">
        <v>8</v>
      </c>
      <c r="E671" t="s">
        <v>221</v>
      </c>
      <c r="F671" t="s">
        <v>608</v>
      </c>
      <c r="G671" t="s">
        <v>167</v>
      </c>
      <c r="H671" t="s">
        <v>609</v>
      </c>
      <c r="I671" t="s">
        <v>13</v>
      </c>
      <c r="J671" t="s">
        <v>14</v>
      </c>
      <c r="O671" t="b">
        <f>IF(COUNTIFS($F$2:F671, F671, $P$2:P671, TRUE)&gt;1,TRUE,FALSE)</f>
        <v>0</v>
      </c>
      <c r="P671" t="b">
        <f>OR(ISNUMBER(MATCH(Checklist[[#This Row],[Type]], $B$3:$B$22, 0)), Checklist[[#This Row],[Type]] = "*")</f>
        <v>0</v>
      </c>
    </row>
    <row r="672" spans="4:16" x14ac:dyDescent="0.2">
      <c r="D672" t="s">
        <v>8</v>
      </c>
      <c r="E672" t="s">
        <v>221</v>
      </c>
      <c r="F672" t="s">
        <v>610</v>
      </c>
      <c r="G672" t="s">
        <v>611</v>
      </c>
      <c r="H672" t="s">
        <v>612</v>
      </c>
      <c r="I672" t="s">
        <v>13</v>
      </c>
      <c r="J672" t="s">
        <v>14</v>
      </c>
      <c r="O672" t="b">
        <f>IF(COUNTIFS($F$2:F672, F672, $P$2:P672, TRUE)&gt;1,TRUE,FALSE)</f>
        <v>0</v>
      </c>
      <c r="P672" t="b">
        <f>OR(ISNUMBER(MATCH(Checklist[[#This Row],[Type]], $B$3:$B$22, 0)), Checklist[[#This Row],[Type]] = "*")</f>
        <v>0</v>
      </c>
    </row>
    <row r="673" spans="4:16" x14ac:dyDescent="0.2">
      <c r="D673" t="s">
        <v>8</v>
      </c>
      <c r="E673" t="s">
        <v>221</v>
      </c>
      <c r="F673" t="s">
        <v>613</v>
      </c>
      <c r="G673" t="s">
        <v>133</v>
      </c>
      <c r="H673" t="s">
        <v>428</v>
      </c>
      <c r="I673" t="s">
        <v>13</v>
      </c>
      <c r="J673" t="s">
        <v>14</v>
      </c>
      <c r="O673" t="b">
        <f>IF(COUNTIFS($F$2:F673, F673, $P$2:P673, TRUE)&gt;1,TRUE,FALSE)</f>
        <v>0</v>
      </c>
      <c r="P673" t="b">
        <f>OR(ISNUMBER(MATCH(Checklist[[#This Row],[Type]], $B$3:$B$22, 0)), Checklist[[#This Row],[Type]] = "*")</f>
        <v>0</v>
      </c>
    </row>
    <row r="674" spans="4:16" x14ac:dyDescent="0.2">
      <c r="D674" t="s">
        <v>8</v>
      </c>
      <c r="E674" t="s">
        <v>221</v>
      </c>
      <c r="F674" t="s">
        <v>614</v>
      </c>
      <c r="G674" t="s">
        <v>615</v>
      </c>
      <c r="H674" t="s">
        <v>616</v>
      </c>
      <c r="I674" t="s">
        <v>13</v>
      </c>
      <c r="J674" t="s">
        <v>14</v>
      </c>
      <c r="O674" t="b">
        <f>IF(COUNTIFS($F$2:F674, F674, $P$2:P674, TRUE)&gt;1,TRUE,FALSE)</f>
        <v>0</v>
      </c>
      <c r="P674" t="b">
        <f>OR(ISNUMBER(MATCH(Checklist[[#This Row],[Type]], $B$3:$B$22, 0)), Checklist[[#This Row],[Type]] = "*")</f>
        <v>0</v>
      </c>
    </row>
    <row r="675" spans="4:16" x14ac:dyDescent="0.2">
      <c r="D675" t="s">
        <v>8</v>
      </c>
      <c r="E675" t="s">
        <v>221</v>
      </c>
      <c r="F675" t="s">
        <v>772</v>
      </c>
      <c r="G675" t="s">
        <v>773</v>
      </c>
      <c r="H675" t="s">
        <v>774</v>
      </c>
      <c r="I675" t="s">
        <v>13</v>
      </c>
      <c r="J675" t="s">
        <v>14</v>
      </c>
      <c r="O675" t="b">
        <f>IF(COUNTIFS($F$2:F675, F675, $P$2:P675, TRUE)&gt;1,TRUE,FALSE)</f>
        <v>0</v>
      </c>
      <c r="P675" t="b">
        <f>OR(ISNUMBER(MATCH(Checklist[[#This Row],[Type]], $B$3:$B$22, 0)), Checklist[[#This Row],[Type]] = "*")</f>
        <v>0</v>
      </c>
    </row>
    <row r="676" spans="4:16" x14ac:dyDescent="0.2">
      <c r="D676" t="s">
        <v>8</v>
      </c>
      <c r="E676" t="s">
        <v>221</v>
      </c>
      <c r="F676" t="s">
        <v>775</v>
      </c>
      <c r="G676" t="s">
        <v>776</v>
      </c>
      <c r="H676" t="s">
        <v>777</v>
      </c>
      <c r="I676" t="s">
        <v>13</v>
      </c>
      <c r="J676" t="s">
        <v>14</v>
      </c>
      <c r="O676" t="b">
        <f>IF(COUNTIFS($F$2:F676, F676, $P$2:P676, TRUE)&gt;1,TRUE,FALSE)</f>
        <v>0</v>
      </c>
      <c r="P676" t="b">
        <f>OR(ISNUMBER(MATCH(Checklist[[#This Row],[Type]], $B$3:$B$22, 0)), Checklist[[#This Row],[Type]] = "*")</f>
        <v>0</v>
      </c>
    </row>
    <row r="677" spans="4:16" x14ac:dyDescent="0.2">
      <c r="D677" t="s">
        <v>8</v>
      </c>
      <c r="E677" t="s">
        <v>221</v>
      </c>
      <c r="F677" t="s">
        <v>778</v>
      </c>
      <c r="G677" t="s">
        <v>779</v>
      </c>
      <c r="H677" t="s">
        <v>780</v>
      </c>
      <c r="I677" t="s">
        <v>13</v>
      </c>
      <c r="J677" t="s">
        <v>14</v>
      </c>
      <c r="O677" t="b">
        <f>IF(COUNTIFS($F$2:F677, F677, $P$2:P677, TRUE)&gt;1,TRUE,FALSE)</f>
        <v>0</v>
      </c>
      <c r="P677" t="b">
        <f>OR(ISNUMBER(MATCH(Checklist[[#This Row],[Type]], $B$3:$B$22, 0)), Checklist[[#This Row],[Type]] = "*")</f>
        <v>0</v>
      </c>
    </row>
    <row r="678" spans="4:16" x14ac:dyDescent="0.2">
      <c r="D678" t="s">
        <v>8</v>
      </c>
      <c r="E678" t="s">
        <v>222</v>
      </c>
      <c r="F678" t="s">
        <v>781</v>
      </c>
      <c r="G678" t="s">
        <v>56</v>
      </c>
      <c r="H678" t="s">
        <v>57</v>
      </c>
      <c r="I678" t="s">
        <v>13</v>
      </c>
      <c r="J678" t="s">
        <v>14</v>
      </c>
      <c r="O678" t="b">
        <f>IF(COUNTIFS($F$2:F678, F678, $P$2:P678, TRUE)&gt;1,TRUE,FALSE)</f>
        <v>0</v>
      </c>
      <c r="P678" t="b">
        <f>OR(ISNUMBER(MATCH(Checklist[[#This Row],[Type]], $B$3:$B$22, 0)), Checklist[[#This Row],[Type]] = "*")</f>
        <v>0</v>
      </c>
    </row>
    <row r="679" spans="4:16" x14ac:dyDescent="0.2">
      <c r="D679" t="s">
        <v>8</v>
      </c>
      <c r="E679" t="s">
        <v>222</v>
      </c>
      <c r="F679" t="s">
        <v>782</v>
      </c>
      <c r="G679" t="s">
        <v>96</v>
      </c>
      <c r="H679" t="s">
        <v>97</v>
      </c>
      <c r="I679" t="s">
        <v>13</v>
      </c>
      <c r="J679" t="s">
        <v>14</v>
      </c>
      <c r="O679" t="b">
        <f>IF(COUNTIFS($F$2:F679, F679, $P$2:P679, TRUE)&gt;1,TRUE,FALSE)</f>
        <v>0</v>
      </c>
      <c r="P679" t="b">
        <f>OR(ISNUMBER(MATCH(Checklist[[#This Row],[Type]], $B$3:$B$22, 0)), Checklist[[#This Row],[Type]] = "*")</f>
        <v>0</v>
      </c>
    </row>
    <row r="680" spans="4:16" x14ac:dyDescent="0.2">
      <c r="D680" t="s">
        <v>8</v>
      </c>
      <c r="E680" t="s">
        <v>223</v>
      </c>
      <c r="F680" t="s">
        <v>404</v>
      </c>
      <c r="G680" t="s">
        <v>405</v>
      </c>
      <c r="H680" t="s">
        <v>406</v>
      </c>
      <c r="I680" t="s">
        <v>13</v>
      </c>
      <c r="J680" t="s">
        <v>14</v>
      </c>
      <c r="O680" t="b">
        <f>IF(COUNTIFS($F$2:F680, F680, $P$2:P680, TRUE)&gt;1,TRUE,FALSE)</f>
        <v>0</v>
      </c>
      <c r="P680" t="b">
        <f>OR(ISNUMBER(MATCH(Checklist[[#This Row],[Type]], $B$3:$B$22, 0)), Checklist[[#This Row],[Type]] = "*")</f>
        <v>0</v>
      </c>
    </row>
    <row r="681" spans="4:16" x14ac:dyDescent="0.2">
      <c r="D681" t="s">
        <v>8</v>
      </c>
      <c r="E681" t="s">
        <v>223</v>
      </c>
      <c r="F681" t="s">
        <v>407</v>
      </c>
      <c r="G681" t="s">
        <v>408</v>
      </c>
      <c r="H681" t="s">
        <v>409</v>
      </c>
      <c r="I681" t="s">
        <v>13</v>
      </c>
      <c r="J681" t="s">
        <v>14</v>
      </c>
      <c r="O681" t="b">
        <f>IF(COUNTIFS($F$2:F681, F681, $P$2:P681, TRUE)&gt;1,TRUE,FALSE)</f>
        <v>0</v>
      </c>
      <c r="P681" t="b">
        <f>OR(ISNUMBER(MATCH(Checklist[[#This Row],[Type]], $B$3:$B$22, 0)), Checklist[[#This Row],[Type]] = "*")</f>
        <v>0</v>
      </c>
    </row>
    <row r="682" spans="4:16" x14ac:dyDescent="0.2">
      <c r="D682" t="s">
        <v>8</v>
      </c>
      <c r="E682" t="s">
        <v>223</v>
      </c>
      <c r="F682" t="s">
        <v>410</v>
      </c>
      <c r="G682" t="s">
        <v>411</v>
      </c>
      <c r="H682" t="s">
        <v>412</v>
      </c>
      <c r="I682" t="s">
        <v>13</v>
      </c>
      <c r="J682" t="s">
        <v>14</v>
      </c>
      <c r="O682" t="b">
        <f>IF(COUNTIFS($F$2:F682, F682, $P$2:P682, TRUE)&gt;1,TRUE,FALSE)</f>
        <v>0</v>
      </c>
      <c r="P682" t="b">
        <f>OR(ISNUMBER(MATCH(Checklist[[#This Row],[Type]], $B$3:$B$22, 0)), Checklist[[#This Row],[Type]] = "*")</f>
        <v>0</v>
      </c>
    </row>
    <row r="683" spans="4:16" x14ac:dyDescent="0.2">
      <c r="D683" t="s">
        <v>8</v>
      </c>
      <c r="E683" t="s">
        <v>223</v>
      </c>
      <c r="F683" t="s">
        <v>413</v>
      </c>
      <c r="G683" t="s">
        <v>414</v>
      </c>
      <c r="H683" t="s">
        <v>415</v>
      </c>
      <c r="I683" t="s">
        <v>13</v>
      </c>
      <c r="J683" t="s">
        <v>14</v>
      </c>
      <c r="O683" t="b">
        <f>IF(COUNTIFS($F$2:F683, F683, $P$2:P683, TRUE)&gt;1,TRUE,FALSE)</f>
        <v>0</v>
      </c>
      <c r="P683" t="b">
        <f>OR(ISNUMBER(MATCH(Checklist[[#This Row],[Type]], $B$3:$B$22, 0)), Checklist[[#This Row],[Type]] = "*")</f>
        <v>0</v>
      </c>
    </row>
    <row r="684" spans="4:16" x14ac:dyDescent="0.2">
      <c r="D684" t="s">
        <v>8</v>
      </c>
      <c r="E684" t="s">
        <v>223</v>
      </c>
      <c r="F684" t="s">
        <v>416</v>
      </c>
      <c r="G684" t="s">
        <v>417</v>
      </c>
      <c r="H684" t="s">
        <v>418</v>
      </c>
      <c r="I684" t="s">
        <v>13</v>
      </c>
      <c r="J684" t="s">
        <v>14</v>
      </c>
      <c r="O684" t="b">
        <f>IF(COUNTIFS($F$2:F684, F684, $P$2:P684, TRUE)&gt;1,TRUE,FALSE)</f>
        <v>0</v>
      </c>
      <c r="P684" t="b">
        <f>OR(ISNUMBER(MATCH(Checklist[[#This Row],[Type]], $B$3:$B$22, 0)), Checklist[[#This Row],[Type]] = "*")</f>
        <v>0</v>
      </c>
    </row>
    <row r="685" spans="4:16" x14ac:dyDescent="0.2">
      <c r="D685" t="s">
        <v>8</v>
      </c>
      <c r="E685" t="s">
        <v>223</v>
      </c>
      <c r="F685" t="s">
        <v>419</v>
      </c>
      <c r="G685" t="s">
        <v>420</v>
      </c>
      <c r="H685" t="s">
        <v>421</v>
      </c>
      <c r="I685" t="s">
        <v>13</v>
      </c>
      <c r="J685" t="s">
        <v>14</v>
      </c>
      <c r="O685" t="b">
        <f>IF(COUNTIFS($F$2:F685, F685, $P$2:P685, TRUE)&gt;1,TRUE,FALSE)</f>
        <v>0</v>
      </c>
      <c r="P685" t="b">
        <f>OR(ISNUMBER(MATCH(Checklist[[#This Row],[Type]], $B$3:$B$22, 0)), Checklist[[#This Row],[Type]] = "*")</f>
        <v>0</v>
      </c>
    </row>
    <row r="686" spans="4:16" x14ac:dyDescent="0.2">
      <c r="D686" t="s">
        <v>8</v>
      </c>
      <c r="E686" t="s">
        <v>223</v>
      </c>
      <c r="F686" t="s">
        <v>422</v>
      </c>
      <c r="G686" t="s">
        <v>423</v>
      </c>
      <c r="H686" t="s">
        <v>424</v>
      </c>
      <c r="I686" t="s">
        <v>13</v>
      </c>
      <c r="J686" t="s">
        <v>14</v>
      </c>
      <c r="O686" t="b">
        <f>IF(COUNTIFS($F$2:F686, F686, $P$2:P686, TRUE)&gt;1,TRUE,FALSE)</f>
        <v>0</v>
      </c>
      <c r="P686" t="b">
        <f>OR(ISNUMBER(MATCH(Checklist[[#This Row],[Type]], $B$3:$B$22, 0)), Checklist[[#This Row],[Type]] = "*")</f>
        <v>0</v>
      </c>
    </row>
    <row r="687" spans="4:16" x14ac:dyDescent="0.2">
      <c r="D687" t="s">
        <v>8</v>
      </c>
      <c r="E687" t="s">
        <v>223</v>
      </c>
      <c r="F687" t="s">
        <v>425</v>
      </c>
      <c r="G687" t="s">
        <v>204</v>
      </c>
      <c r="H687" t="s">
        <v>426</v>
      </c>
      <c r="I687" t="s">
        <v>13</v>
      </c>
      <c r="J687" t="s">
        <v>14</v>
      </c>
      <c r="O687" t="b">
        <f>IF(COUNTIFS($F$2:F687, F687, $P$2:P687, TRUE)&gt;1,TRUE,FALSE)</f>
        <v>0</v>
      </c>
      <c r="P687" t="b">
        <f>OR(ISNUMBER(MATCH(Checklist[[#This Row],[Type]], $B$3:$B$22, 0)), Checklist[[#This Row],[Type]] = "*")</f>
        <v>0</v>
      </c>
    </row>
    <row r="688" spans="4:16" x14ac:dyDescent="0.2">
      <c r="D688" t="s">
        <v>8</v>
      </c>
      <c r="E688" t="s">
        <v>223</v>
      </c>
      <c r="F688" t="s">
        <v>427</v>
      </c>
      <c r="G688" t="s">
        <v>133</v>
      </c>
      <c r="H688" t="s">
        <v>428</v>
      </c>
      <c r="I688" t="s">
        <v>13</v>
      </c>
      <c r="J688" t="s">
        <v>14</v>
      </c>
      <c r="O688" t="b">
        <f>IF(COUNTIFS($F$2:F688, F688, $P$2:P688, TRUE)&gt;1,TRUE,FALSE)</f>
        <v>0</v>
      </c>
      <c r="P688" t="b">
        <f>OR(ISNUMBER(MATCH(Checklist[[#This Row],[Type]], $B$3:$B$22, 0)), Checklist[[#This Row],[Type]] = "*")</f>
        <v>0</v>
      </c>
    </row>
    <row r="689" spans="4:16" x14ac:dyDescent="0.2">
      <c r="D689" t="s">
        <v>8</v>
      </c>
      <c r="E689" t="s">
        <v>223</v>
      </c>
      <c r="F689" t="s">
        <v>772</v>
      </c>
      <c r="G689" t="s">
        <v>773</v>
      </c>
      <c r="H689" t="s">
        <v>774</v>
      </c>
      <c r="I689" t="s">
        <v>13</v>
      </c>
      <c r="J689" t="s">
        <v>14</v>
      </c>
      <c r="O689" t="b">
        <f>IF(COUNTIFS($F$2:F689, F689, $P$2:P689, TRUE)&gt;1,TRUE,FALSE)</f>
        <v>0</v>
      </c>
      <c r="P689" t="b">
        <f>OR(ISNUMBER(MATCH(Checklist[[#This Row],[Type]], $B$3:$B$22, 0)), Checklist[[#This Row],[Type]] = "*")</f>
        <v>0</v>
      </c>
    </row>
    <row r="690" spans="4:16" x14ac:dyDescent="0.2">
      <c r="D690" t="s">
        <v>8</v>
      </c>
      <c r="E690" t="s">
        <v>223</v>
      </c>
      <c r="F690" t="s">
        <v>775</v>
      </c>
      <c r="G690" t="s">
        <v>776</v>
      </c>
      <c r="H690" t="s">
        <v>777</v>
      </c>
      <c r="I690" t="s">
        <v>13</v>
      </c>
      <c r="J690" t="s">
        <v>14</v>
      </c>
      <c r="O690" t="b">
        <f>IF(COUNTIFS($F$2:F690, F690, $P$2:P690, TRUE)&gt;1,TRUE,FALSE)</f>
        <v>0</v>
      </c>
      <c r="P690" t="b">
        <f>OR(ISNUMBER(MATCH(Checklist[[#This Row],[Type]], $B$3:$B$22, 0)), Checklist[[#This Row],[Type]] = "*")</f>
        <v>0</v>
      </c>
    </row>
    <row r="691" spans="4:16" ht="17" thickBot="1" x14ac:dyDescent="0.25">
      <c r="D691" t="s">
        <v>8</v>
      </c>
      <c r="E691" t="s">
        <v>223</v>
      </c>
      <c r="F691" t="s">
        <v>778</v>
      </c>
      <c r="G691" t="s">
        <v>779</v>
      </c>
      <c r="H691" t="s">
        <v>780</v>
      </c>
      <c r="I691" t="s">
        <v>13</v>
      </c>
      <c r="J691" t="s">
        <v>14</v>
      </c>
      <c r="O691" t="b">
        <f>IF(COUNTIFS($F$2:F691, F691, $P$2:P691, TRUE)&gt;1,TRUE,FALSE)</f>
        <v>0</v>
      </c>
      <c r="P691" t="b">
        <f>OR(ISNUMBER(MATCH(Checklist[[#This Row],[Type]], $B$3:$B$22, 0)), Checklist[[#This Row],[Type]] = "*")</f>
        <v>0</v>
      </c>
    </row>
    <row r="692" spans="4:16" ht="17" thickTop="1" x14ac:dyDescent="0.2">
      <c r="D692" s="10" t="s">
        <v>225</v>
      </c>
      <c r="E692" s="9" t="s">
        <v>9</v>
      </c>
      <c r="F692" s="9" t="s">
        <v>226</v>
      </c>
      <c r="G692" s="9" t="s">
        <v>227</v>
      </c>
      <c r="H692" s="9" t="s">
        <v>228</v>
      </c>
      <c r="I692" s="9" t="s">
        <v>229</v>
      </c>
      <c r="J692" s="9" t="s">
        <v>230</v>
      </c>
      <c r="K692" s="9" t="s">
        <v>231</v>
      </c>
      <c r="L692" s="9" t="s">
        <v>232</v>
      </c>
      <c r="M692" s="9" t="s">
        <v>233</v>
      </c>
      <c r="N692" s="9"/>
      <c r="O692" s="9" t="b">
        <f>IF(COUNTIFS($F$2:F692, F692, $P$2:P692, TRUE)&gt;1,TRUE,FALSE)</f>
        <v>0</v>
      </c>
      <c r="P692" s="9" t="b">
        <f>OR(ISNUMBER(MATCH(Checklist[[#This Row],[Type]], $B$3:$B$22, 0)), Checklist[[#This Row],[Type]] = "*")</f>
        <v>1</v>
      </c>
    </row>
    <row r="693" spans="4:16" x14ac:dyDescent="0.2">
      <c r="D693" t="s">
        <v>225</v>
      </c>
      <c r="E693" t="s">
        <v>9</v>
      </c>
      <c r="F693" t="s">
        <v>234</v>
      </c>
      <c r="G693" t="s">
        <v>235</v>
      </c>
      <c r="H693" t="s">
        <v>236</v>
      </c>
      <c r="I693" t="s">
        <v>13</v>
      </c>
      <c r="J693" t="s">
        <v>14</v>
      </c>
      <c r="O693" t="b">
        <f>IF(COUNTIFS($F$2:F693, F693, $P$2:P693, TRUE)&gt;1,TRUE,FALSE)</f>
        <v>0</v>
      </c>
      <c r="P693" t="b">
        <f>OR(ISNUMBER(MATCH(Checklist[[#This Row],[Type]], $B$3:$B$22, 0)), Checklist[[#This Row],[Type]] = "*")</f>
        <v>1</v>
      </c>
    </row>
    <row r="694" spans="4:16" x14ac:dyDescent="0.2">
      <c r="D694" t="s">
        <v>225</v>
      </c>
      <c r="E694" t="s">
        <v>9</v>
      </c>
      <c r="F694" t="s">
        <v>237</v>
      </c>
      <c r="G694" t="s">
        <v>238</v>
      </c>
      <c r="H694" t="s">
        <v>239</v>
      </c>
      <c r="I694" t="s">
        <v>13</v>
      </c>
      <c r="J694" t="s">
        <v>14</v>
      </c>
      <c r="O694" t="b">
        <f>IF(COUNTIFS($F$2:F694, F694, $P$2:P694, TRUE)&gt;1,TRUE,FALSE)</f>
        <v>0</v>
      </c>
      <c r="P694" t="b">
        <f>OR(ISNUMBER(MATCH(Checklist[[#This Row],[Type]], $B$3:$B$22, 0)), Checklist[[#This Row],[Type]] = "*")</f>
        <v>1</v>
      </c>
    </row>
    <row r="695" spans="4:16" x14ac:dyDescent="0.2">
      <c r="D695" t="s">
        <v>225</v>
      </c>
      <c r="E695" t="s">
        <v>9</v>
      </c>
      <c r="F695" t="s">
        <v>240</v>
      </c>
      <c r="G695" t="s">
        <v>241</v>
      </c>
      <c r="H695" t="s">
        <v>242</v>
      </c>
      <c r="I695" t="s">
        <v>13</v>
      </c>
      <c r="J695" t="s">
        <v>243</v>
      </c>
      <c r="K695" t="s">
        <v>14</v>
      </c>
      <c r="O695" t="b">
        <f>IF(COUNTIFS($F$2:F695, F695, $P$2:P695, TRUE)&gt;1,TRUE,FALSE)</f>
        <v>0</v>
      </c>
      <c r="P695" t="b">
        <f>OR(ISNUMBER(MATCH(Checklist[[#This Row],[Type]], $B$3:$B$22, 0)), Checklist[[#This Row],[Type]] = "*")</f>
        <v>1</v>
      </c>
    </row>
    <row r="696" spans="4:16" x14ac:dyDescent="0.2">
      <c r="D696" t="s">
        <v>225</v>
      </c>
      <c r="E696" t="s">
        <v>9</v>
      </c>
      <c r="F696" t="s">
        <v>244</v>
      </c>
      <c r="G696" t="s">
        <v>245</v>
      </c>
      <c r="H696" t="s">
        <v>246</v>
      </c>
      <c r="I696" t="s">
        <v>13</v>
      </c>
      <c r="J696" t="s">
        <v>14</v>
      </c>
      <c r="O696" t="b">
        <f>IF(COUNTIFS($F$2:F696, F696, $P$2:P696, TRUE)&gt;1,TRUE,FALSE)</f>
        <v>0</v>
      </c>
      <c r="P696" t="b">
        <f>OR(ISNUMBER(MATCH(Checklist[[#This Row],[Type]], $B$3:$B$22, 0)), Checklist[[#This Row],[Type]] = "*")</f>
        <v>1</v>
      </c>
    </row>
    <row r="697" spans="4:16" x14ac:dyDescent="0.2">
      <c r="D697" t="s">
        <v>225</v>
      </c>
      <c r="E697" t="s">
        <v>9</v>
      </c>
      <c r="F697" t="s">
        <v>247</v>
      </c>
      <c r="G697" t="s">
        <v>248</v>
      </c>
      <c r="H697" t="s">
        <v>249</v>
      </c>
      <c r="I697" t="s">
        <v>13</v>
      </c>
      <c r="J697" t="s">
        <v>14</v>
      </c>
      <c r="O697" t="b">
        <f>IF(COUNTIFS($F$2:F697, F697, $P$2:P697, TRUE)&gt;1,TRUE,FALSE)</f>
        <v>0</v>
      </c>
      <c r="P697" t="b">
        <f>OR(ISNUMBER(MATCH(Checklist[[#This Row],[Type]], $B$3:$B$22, 0)), Checklist[[#This Row],[Type]] = "*")</f>
        <v>1</v>
      </c>
    </row>
    <row r="698" spans="4:16" x14ac:dyDescent="0.2">
      <c r="D698" t="s">
        <v>225</v>
      </c>
      <c r="E698" t="s">
        <v>9</v>
      </c>
      <c r="F698" t="s">
        <v>250</v>
      </c>
      <c r="G698" t="s">
        <v>251</v>
      </c>
      <c r="H698" t="s">
        <v>252</v>
      </c>
      <c r="I698" t="s">
        <v>13</v>
      </c>
      <c r="J698" t="s">
        <v>14</v>
      </c>
      <c r="O698" t="b">
        <f>IF(COUNTIFS($F$2:F698, F698, $P$2:P698, TRUE)&gt;1,TRUE,FALSE)</f>
        <v>0</v>
      </c>
      <c r="P698" t="b">
        <f>OR(ISNUMBER(MATCH(Checklist[[#This Row],[Type]], $B$3:$B$22, 0)), Checklist[[#This Row],[Type]] = "*")</f>
        <v>1</v>
      </c>
    </row>
    <row r="699" spans="4:16" x14ac:dyDescent="0.2">
      <c r="D699" t="s">
        <v>225</v>
      </c>
      <c r="E699" t="s">
        <v>9</v>
      </c>
      <c r="F699" t="s">
        <v>253</v>
      </c>
      <c r="G699" t="s">
        <v>254</v>
      </c>
      <c r="H699" t="s">
        <v>255</v>
      </c>
      <c r="I699" t="s">
        <v>13</v>
      </c>
      <c r="J699" t="s">
        <v>243</v>
      </c>
      <c r="K699" t="s">
        <v>14</v>
      </c>
      <c r="O699" t="b">
        <f>IF(COUNTIFS($F$2:F699, F699, $P$2:P699, TRUE)&gt;1,TRUE,FALSE)</f>
        <v>0</v>
      </c>
      <c r="P699" t="b">
        <f>OR(ISNUMBER(MATCH(Checklist[[#This Row],[Type]], $B$3:$B$22, 0)), Checklist[[#This Row],[Type]] = "*")</f>
        <v>1</v>
      </c>
    </row>
    <row r="700" spans="4:16" x14ac:dyDescent="0.2">
      <c r="D700" t="s">
        <v>225</v>
      </c>
      <c r="E700" t="s">
        <v>9</v>
      </c>
      <c r="F700" t="s">
        <v>256</v>
      </c>
      <c r="G700" t="s">
        <v>257</v>
      </c>
      <c r="H700" t="s">
        <v>258</v>
      </c>
      <c r="I700" t="s">
        <v>259</v>
      </c>
      <c r="J700" t="s">
        <v>230</v>
      </c>
      <c r="K700" t="s">
        <v>232</v>
      </c>
      <c r="O700" t="b">
        <f>IF(COUNTIFS($F$2:F700, F700, $P$2:P700, TRUE)&gt;1,TRUE,FALSE)</f>
        <v>0</v>
      </c>
      <c r="P700" t="b">
        <f>OR(ISNUMBER(MATCH(Checklist[[#This Row],[Type]], $B$3:$B$22, 0)), Checklist[[#This Row],[Type]] = "*")</f>
        <v>1</v>
      </c>
    </row>
    <row r="701" spans="4:16" x14ac:dyDescent="0.2">
      <c r="D701" t="s">
        <v>225</v>
      </c>
      <c r="E701" t="s">
        <v>9</v>
      </c>
      <c r="F701" t="s">
        <v>260</v>
      </c>
      <c r="G701" t="s">
        <v>261</v>
      </c>
      <c r="H701" t="s">
        <v>262</v>
      </c>
      <c r="I701" t="s">
        <v>13</v>
      </c>
      <c r="J701" t="s">
        <v>263</v>
      </c>
      <c r="K701" t="s">
        <v>264</v>
      </c>
      <c r="O701" t="b">
        <f>IF(COUNTIFS($F$2:F701, F701, $P$2:P701, TRUE)&gt;1,TRUE,FALSE)</f>
        <v>0</v>
      </c>
      <c r="P701" t="b">
        <f>OR(ISNUMBER(MATCH(Checklist[[#This Row],[Type]], $B$3:$B$22, 0)), Checklist[[#This Row],[Type]] = "*")</f>
        <v>1</v>
      </c>
    </row>
    <row r="702" spans="4:16" x14ac:dyDescent="0.2">
      <c r="D702" t="s">
        <v>225</v>
      </c>
      <c r="E702" t="s">
        <v>9</v>
      </c>
      <c r="F702" t="s">
        <v>783</v>
      </c>
      <c r="G702" t="s">
        <v>784</v>
      </c>
      <c r="H702" t="s">
        <v>785</v>
      </c>
      <c r="I702" t="s">
        <v>13</v>
      </c>
      <c r="J702" t="s">
        <v>263</v>
      </c>
      <c r="K702" t="s">
        <v>264</v>
      </c>
      <c r="O702" t="b">
        <f>IF(COUNTIFS($F$2:F702, F702, $P$2:P702, TRUE)&gt;1,TRUE,FALSE)</f>
        <v>0</v>
      </c>
      <c r="P702" t="b">
        <f>OR(ISNUMBER(MATCH(Checklist[[#This Row],[Type]], $B$3:$B$22, 0)), Checklist[[#This Row],[Type]] = "*")</f>
        <v>1</v>
      </c>
    </row>
    <row r="703" spans="4:16" x14ac:dyDescent="0.2">
      <c r="D703" t="s">
        <v>225</v>
      </c>
      <c r="E703" t="s">
        <v>9</v>
      </c>
      <c r="F703" t="s">
        <v>265</v>
      </c>
      <c r="G703" t="s">
        <v>266</v>
      </c>
      <c r="H703" t="s">
        <v>267</v>
      </c>
      <c r="I703" t="s">
        <v>268</v>
      </c>
      <c r="J703" t="s">
        <v>231</v>
      </c>
      <c r="K703" t="s">
        <v>269</v>
      </c>
      <c r="O703" t="b">
        <f>IF(COUNTIFS($F$2:F703, F703, $P$2:P703, TRUE)&gt;1,TRUE,FALSE)</f>
        <v>0</v>
      </c>
      <c r="P703" t="b">
        <f>OR(ISNUMBER(MATCH(Checklist[[#This Row],[Type]], $B$3:$B$22, 0)), Checklist[[#This Row],[Type]] = "*")</f>
        <v>1</v>
      </c>
    </row>
    <row r="704" spans="4:16" x14ac:dyDescent="0.2">
      <c r="D704" t="s">
        <v>225</v>
      </c>
      <c r="E704" t="s">
        <v>9</v>
      </c>
      <c r="F704" t="s">
        <v>270</v>
      </c>
      <c r="G704" t="s">
        <v>271</v>
      </c>
      <c r="H704" t="s">
        <v>272</v>
      </c>
      <c r="I704" t="s">
        <v>230</v>
      </c>
      <c r="J704" t="s">
        <v>232</v>
      </c>
      <c r="K704" t="s">
        <v>233</v>
      </c>
      <c r="O704" t="b">
        <f>IF(COUNTIFS($F$2:F704, F704, $P$2:P704, TRUE)&gt;1,TRUE,FALSE)</f>
        <v>0</v>
      </c>
      <c r="P704" t="b">
        <f>OR(ISNUMBER(MATCH(Checklist[[#This Row],[Type]], $B$3:$B$22, 0)), Checklist[[#This Row],[Type]] = "*")</f>
        <v>1</v>
      </c>
    </row>
    <row r="705" spans="4:16" x14ac:dyDescent="0.2">
      <c r="D705" t="s">
        <v>225</v>
      </c>
      <c r="E705" t="s">
        <v>9</v>
      </c>
      <c r="F705" t="s">
        <v>273</v>
      </c>
      <c r="G705" t="s">
        <v>274</v>
      </c>
      <c r="H705" t="s">
        <v>275</v>
      </c>
      <c r="I705" t="s">
        <v>230</v>
      </c>
      <c r="J705" t="s">
        <v>232</v>
      </c>
      <c r="K705" t="s">
        <v>233</v>
      </c>
      <c r="O705" t="b">
        <f>IF(COUNTIFS($F$2:F705, F705, $P$2:P705, TRUE)&gt;1,TRUE,FALSE)</f>
        <v>0</v>
      </c>
      <c r="P705" t="b">
        <f>OR(ISNUMBER(MATCH(Checklist[[#This Row],[Type]], $B$3:$B$22, 0)), Checklist[[#This Row],[Type]] = "*")</f>
        <v>1</v>
      </c>
    </row>
    <row r="706" spans="4:16" ht="17" thickBot="1" x14ac:dyDescent="0.25">
      <c r="D706" t="s">
        <v>225</v>
      </c>
      <c r="E706" t="s">
        <v>9</v>
      </c>
      <c r="F706" t="s">
        <v>276</v>
      </c>
      <c r="G706" t="s">
        <v>277</v>
      </c>
      <c r="H706" t="s">
        <v>278</v>
      </c>
      <c r="I706" t="s">
        <v>13</v>
      </c>
      <c r="J706" t="s">
        <v>14</v>
      </c>
      <c r="O706" t="b">
        <f>IF(COUNTIFS($F$2:F706, F706, $P$2:P706, TRUE)&gt;1,TRUE,FALSE)</f>
        <v>0</v>
      </c>
      <c r="P706" t="b">
        <f>OR(ISNUMBER(MATCH(Checklist[[#This Row],[Type]], $B$3:$B$22, 0)), Checklist[[#This Row],[Type]] = "*")</f>
        <v>1</v>
      </c>
    </row>
    <row r="707" spans="4:16" ht="17" thickTop="1" x14ac:dyDescent="0.2">
      <c r="D707" s="10" t="s">
        <v>279</v>
      </c>
      <c r="E707" s="9" t="s">
        <v>9</v>
      </c>
      <c r="F707" s="9" t="s">
        <v>280</v>
      </c>
      <c r="G707" s="9" t="s">
        <v>281</v>
      </c>
      <c r="H707" s="9" t="s">
        <v>282</v>
      </c>
      <c r="I707" s="9" t="s">
        <v>13</v>
      </c>
      <c r="J707" s="9" t="s">
        <v>14</v>
      </c>
      <c r="K707" s="9"/>
      <c r="L707" s="9"/>
      <c r="M707" s="9"/>
      <c r="N707" s="9"/>
      <c r="O707" s="9" t="b">
        <f>IF(COUNTIFS($F$2:F707, F707, $P$2:P707, TRUE)&gt;1,TRUE,FALSE)</f>
        <v>0</v>
      </c>
      <c r="P707" s="9" t="b">
        <f>OR(ISNUMBER(MATCH(Checklist[[#This Row],[Type]], $B$3:$B$22, 0)), Checklist[[#This Row],[Type]] = "*")</f>
        <v>1</v>
      </c>
    </row>
    <row r="708" spans="4:16" x14ac:dyDescent="0.2">
      <c r="D708" t="s">
        <v>279</v>
      </c>
      <c r="E708" t="s">
        <v>9</v>
      </c>
      <c r="F708" t="s">
        <v>283</v>
      </c>
      <c r="G708" t="s">
        <v>284</v>
      </c>
      <c r="H708" t="s">
        <v>285</v>
      </c>
      <c r="I708" t="s">
        <v>13</v>
      </c>
      <c r="J708" t="s">
        <v>286</v>
      </c>
      <c r="K708" t="s">
        <v>287</v>
      </c>
      <c r="O708" t="b">
        <f>IF(COUNTIFS($F$2:F708, F708, $P$2:P708, TRUE)&gt;1,TRUE,FALSE)</f>
        <v>0</v>
      </c>
      <c r="P708" t="b">
        <f>OR(ISNUMBER(MATCH(Checklist[[#This Row],[Type]], $B$3:$B$22, 0)), Checklist[[#This Row],[Type]] = "*")</f>
        <v>1</v>
      </c>
    </row>
    <row r="709" spans="4:16" x14ac:dyDescent="0.2">
      <c r="D709" t="s">
        <v>279</v>
      </c>
      <c r="E709" t="s">
        <v>9</v>
      </c>
      <c r="F709" t="s">
        <v>288</v>
      </c>
      <c r="G709" t="s">
        <v>289</v>
      </c>
      <c r="H709" t="s">
        <v>290</v>
      </c>
      <c r="I709" t="s">
        <v>13</v>
      </c>
      <c r="J709" t="s">
        <v>14</v>
      </c>
      <c r="O709" t="b">
        <f>IF(COUNTIFS($F$2:F709, F709, $P$2:P709, TRUE)&gt;1,TRUE,FALSE)</f>
        <v>0</v>
      </c>
      <c r="P709" t="b">
        <f>OR(ISNUMBER(MATCH(Checklist[[#This Row],[Type]], $B$3:$B$22, 0)), Checklist[[#This Row],[Type]] = "*")</f>
        <v>1</v>
      </c>
    </row>
    <row r="710" spans="4:16" x14ac:dyDescent="0.2">
      <c r="D710" t="s">
        <v>279</v>
      </c>
      <c r="E710" t="s">
        <v>9</v>
      </c>
      <c r="F710" t="s">
        <v>291</v>
      </c>
      <c r="G710" t="s">
        <v>292</v>
      </c>
      <c r="H710" t="s">
        <v>293</v>
      </c>
      <c r="I710" t="s">
        <v>13</v>
      </c>
      <c r="J710" t="s">
        <v>14</v>
      </c>
      <c r="O710" t="b">
        <f>IF(COUNTIFS($F$2:F710, F710, $P$2:P710, TRUE)&gt;1,TRUE,FALSE)</f>
        <v>0</v>
      </c>
      <c r="P710" t="b">
        <f>OR(ISNUMBER(MATCH(Checklist[[#This Row],[Type]], $B$3:$B$22, 0)), Checklist[[#This Row],[Type]] = "*")</f>
        <v>1</v>
      </c>
    </row>
    <row r="711" spans="4:16" x14ac:dyDescent="0.2">
      <c r="D711" t="s">
        <v>279</v>
      </c>
      <c r="E711" t="s">
        <v>9</v>
      </c>
      <c r="F711" t="s">
        <v>294</v>
      </c>
      <c r="G711" t="s">
        <v>295</v>
      </c>
      <c r="H711" t="s">
        <v>296</v>
      </c>
      <c r="I711" t="s">
        <v>297</v>
      </c>
      <c r="J711" t="s">
        <v>298</v>
      </c>
      <c r="K711" t="s">
        <v>299</v>
      </c>
      <c r="O711" t="b">
        <f>IF(COUNTIFS($F$2:F711, F711, $P$2:P711, TRUE)&gt;1,TRUE,FALSE)</f>
        <v>0</v>
      </c>
      <c r="P711" t="b">
        <f>OR(ISNUMBER(MATCH(Checklist[[#This Row],[Type]], $B$3:$B$22, 0)), Checklist[[#This Row],[Type]] = "*")</f>
        <v>1</v>
      </c>
    </row>
    <row r="712" spans="4:16" x14ac:dyDescent="0.2">
      <c r="D712" t="s">
        <v>279</v>
      </c>
      <c r="E712" t="s">
        <v>9</v>
      </c>
      <c r="F712" t="s">
        <v>300</v>
      </c>
      <c r="G712" t="s">
        <v>301</v>
      </c>
      <c r="H712" t="s">
        <v>302</v>
      </c>
      <c r="I712" t="s">
        <v>13</v>
      </c>
      <c r="J712" t="s">
        <v>14</v>
      </c>
      <c r="O712" t="b">
        <f>IF(COUNTIFS($F$2:F712, F712, $P$2:P712, TRUE)&gt;1,TRUE,FALSE)</f>
        <v>0</v>
      </c>
      <c r="P712" t="b">
        <f>OR(ISNUMBER(MATCH(Checklist[[#This Row],[Type]], $B$3:$B$22, 0)), Checklist[[#This Row],[Type]] = "*")</f>
        <v>1</v>
      </c>
    </row>
    <row r="713" spans="4:16" x14ac:dyDescent="0.2">
      <c r="D713" t="s">
        <v>279</v>
      </c>
      <c r="E713" t="s">
        <v>9</v>
      </c>
      <c r="F713" t="s">
        <v>303</v>
      </c>
      <c r="G713" t="s">
        <v>304</v>
      </c>
      <c r="H713" t="s">
        <v>305</v>
      </c>
      <c r="I713" t="s">
        <v>13</v>
      </c>
      <c r="J713" t="s">
        <v>14</v>
      </c>
      <c r="O713" t="b">
        <f>IF(COUNTIFS($F$2:F713, F713, $P$2:P713, TRUE)&gt;1,TRUE,FALSE)</f>
        <v>0</v>
      </c>
      <c r="P713" t="b">
        <f>OR(ISNUMBER(MATCH(Checklist[[#This Row],[Type]], $B$3:$B$22, 0)), Checklist[[#This Row],[Type]] = "*")</f>
        <v>1</v>
      </c>
    </row>
    <row r="714" spans="4:16" x14ac:dyDescent="0.2">
      <c r="D714" t="s">
        <v>279</v>
      </c>
      <c r="E714" t="s">
        <v>9</v>
      </c>
      <c r="F714" t="s">
        <v>306</v>
      </c>
      <c r="G714" t="s">
        <v>307</v>
      </c>
      <c r="H714" t="s">
        <v>308</v>
      </c>
      <c r="I714" t="s">
        <v>13</v>
      </c>
      <c r="J714" t="s">
        <v>14</v>
      </c>
      <c r="O714" t="b">
        <f>IF(COUNTIFS($F$2:F714, F714, $P$2:P714, TRUE)&gt;1,TRUE,FALSE)</f>
        <v>0</v>
      </c>
      <c r="P714" t="b">
        <f>OR(ISNUMBER(MATCH(Checklist[[#This Row],[Type]], $B$3:$B$22, 0)), Checklist[[#This Row],[Type]] = "*")</f>
        <v>1</v>
      </c>
    </row>
    <row r="715" spans="4:16" x14ac:dyDescent="0.2">
      <c r="D715" t="s">
        <v>279</v>
      </c>
      <c r="E715" t="s">
        <v>9</v>
      </c>
      <c r="F715" t="s">
        <v>309</v>
      </c>
      <c r="G715" t="s">
        <v>310</v>
      </c>
      <c r="H715" t="s">
        <v>311</v>
      </c>
      <c r="I715" t="s">
        <v>13</v>
      </c>
      <c r="J715" t="s">
        <v>243</v>
      </c>
      <c r="K715" t="s">
        <v>14</v>
      </c>
      <c r="O715" t="b">
        <f>IF(COUNTIFS($F$2:F715, F715, $P$2:P715, TRUE)&gt;1,TRUE,FALSE)</f>
        <v>0</v>
      </c>
      <c r="P715" t="b">
        <f>OR(ISNUMBER(MATCH(Checklist[[#This Row],[Type]], $B$3:$B$22, 0)), Checklist[[#This Row],[Type]] = "*")</f>
        <v>1</v>
      </c>
    </row>
    <row r="716" spans="4:16" x14ac:dyDescent="0.2">
      <c r="D716" t="s">
        <v>279</v>
      </c>
      <c r="E716" t="s">
        <v>9</v>
      </c>
      <c r="F716" t="s">
        <v>312</v>
      </c>
      <c r="G716" t="s">
        <v>350</v>
      </c>
      <c r="H716" t="s">
        <v>313</v>
      </c>
      <c r="I716" t="s">
        <v>259</v>
      </c>
      <c r="J716" t="s">
        <v>230</v>
      </c>
      <c r="K716" t="s">
        <v>232</v>
      </c>
      <c r="O716" t="b">
        <f>IF(COUNTIFS($F$2:F716, F716, $P$2:P716, TRUE)&gt;1,TRUE,FALSE)</f>
        <v>0</v>
      </c>
      <c r="P716" t="b">
        <f>OR(ISNUMBER(MATCH(Checklist[[#This Row],[Type]], $B$3:$B$22, 0)), Checklist[[#This Row],[Type]] = "*")</f>
        <v>1</v>
      </c>
    </row>
    <row r="717" spans="4:16" x14ac:dyDescent="0.2">
      <c r="D717" t="s">
        <v>279</v>
      </c>
      <c r="E717" t="s">
        <v>9</v>
      </c>
      <c r="F717" t="s">
        <v>314</v>
      </c>
      <c r="G717" t="s">
        <v>315</v>
      </c>
      <c r="H717" t="s">
        <v>316</v>
      </c>
      <c r="I717" t="s">
        <v>13</v>
      </c>
      <c r="J717" t="s">
        <v>14</v>
      </c>
      <c r="O717" t="b">
        <f>IF(COUNTIFS($F$2:F717, F717, $P$2:P717, TRUE)&gt;1,TRUE,FALSE)</f>
        <v>0</v>
      </c>
      <c r="P717" t="b">
        <f>OR(ISNUMBER(MATCH(Checklist[[#This Row],[Type]], $B$3:$B$22, 0)), Checklist[[#This Row],[Type]] = "*")</f>
        <v>1</v>
      </c>
    </row>
    <row r="718" spans="4:16" x14ac:dyDescent="0.2">
      <c r="D718" t="s">
        <v>279</v>
      </c>
      <c r="E718" t="s">
        <v>9</v>
      </c>
      <c r="F718" t="s">
        <v>317</v>
      </c>
      <c r="G718" t="s">
        <v>318</v>
      </c>
      <c r="H718" t="s">
        <v>319</v>
      </c>
      <c r="I718" t="s">
        <v>13</v>
      </c>
      <c r="J718" t="s">
        <v>14</v>
      </c>
      <c r="O718" t="b">
        <f>IF(COUNTIFS($F$2:F718, F718, $P$2:P718, TRUE)&gt;1,TRUE,FALSE)</f>
        <v>0</v>
      </c>
      <c r="P718" t="b">
        <f>OR(ISNUMBER(MATCH(Checklist[[#This Row],[Type]], $B$3:$B$22, 0)), Checklist[[#This Row],[Type]] = "*")</f>
        <v>1</v>
      </c>
    </row>
    <row r="719" spans="4:16" x14ac:dyDescent="0.2">
      <c r="D719" t="s">
        <v>279</v>
      </c>
      <c r="E719" t="s">
        <v>9</v>
      </c>
      <c r="F719" t="s">
        <v>320</v>
      </c>
      <c r="G719" t="s">
        <v>321</v>
      </c>
      <c r="H719" t="s">
        <v>322</v>
      </c>
      <c r="I719" t="s">
        <v>13</v>
      </c>
      <c r="J719" t="s">
        <v>14</v>
      </c>
      <c r="O719" t="b">
        <f>IF(COUNTIFS($F$2:F719, F719, $P$2:P719, TRUE)&gt;1,TRUE,FALSE)</f>
        <v>0</v>
      </c>
      <c r="P719" t="b">
        <f>OR(ISNUMBER(MATCH(Checklist[[#This Row],[Type]], $B$3:$B$22, 0)), Checklist[[#This Row],[Type]] = "*")</f>
        <v>1</v>
      </c>
    </row>
    <row r="720" spans="4:16" x14ac:dyDescent="0.2">
      <c r="D720" t="s">
        <v>279</v>
      </c>
      <c r="E720" t="s">
        <v>9</v>
      </c>
      <c r="F720" t="s">
        <v>323</v>
      </c>
      <c r="G720" t="s">
        <v>324</v>
      </c>
      <c r="H720" t="s">
        <v>325</v>
      </c>
      <c r="I720" t="s">
        <v>13</v>
      </c>
      <c r="J720" t="s">
        <v>14</v>
      </c>
      <c r="O720" t="b">
        <f>IF(COUNTIFS($F$2:F720, F720, $P$2:P720, TRUE)&gt;1,TRUE,FALSE)</f>
        <v>0</v>
      </c>
      <c r="P720" t="b">
        <f>OR(ISNUMBER(MATCH(Checklist[[#This Row],[Type]], $B$3:$B$22, 0)), Checklist[[#This Row],[Type]] = "*")</f>
        <v>1</v>
      </c>
    </row>
    <row r="721" spans="4:16" x14ac:dyDescent="0.2">
      <c r="D721" t="s">
        <v>279</v>
      </c>
      <c r="E721" t="s">
        <v>9</v>
      </c>
      <c r="F721" t="s">
        <v>326</v>
      </c>
      <c r="G721" t="s">
        <v>327</v>
      </c>
      <c r="H721" t="s">
        <v>328</v>
      </c>
      <c r="I721" t="s">
        <v>13</v>
      </c>
      <c r="J721" t="s">
        <v>14</v>
      </c>
      <c r="O721" t="b">
        <f>IF(COUNTIFS($F$2:F721, F721, $P$2:P721, TRUE)&gt;1,TRUE,FALSE)</f>
        <v>0</v>
      </c>
      <c r="P721" t="b">
        <f>OR(ISNUMBER(MATCH(Checklist[[#This Row],[Type]], $B$3:$B$22, 0)), Checklist[[#This Row],[Type]] = "*")</f>
        <v>1</v>
      </c>
    </row>
    <row r="722" spans="4:16" x14ac:dyDescent="0.2">
      <c r="D722" t="s">
        <v>279</v>
      </c>
      <c r="E722" t="s">
        <v>9</v>
      </c>
      <c r="F722" t="s">
        <v>329</v>
      </c>
      <c r="G722" t="s">
        <v>330</v>
      </c>
      <c r="H722" t="s">
        <v>331</v>
      </c>
      <c r="I722" t="s">
        <v>13</v>
      </c>
      <c r="J722" t="s">
        <v>14</v>
      </c>
      <c r="O722" t="b">
        <f>IF(COUNTIFS($F$2:F722, F722, $P$2:P722, TRUE)&gt;1,TRUE,FALSE)</f>
        <v>0</v>
      </c>
      <c r="P722" t="b">
        <f>OR(ISNUMBER(MATCH(Checklist[[#This Row],[Type]], $B$3:$B$22, 0)), Checklist[[#This Row],[Type]] = "*")</f>
        <v>1</v>
      </c>
    </row>
    <row r="723" spans="4:16" x14ac:dyDescent="0.2">
      <c r="D723" t="s">
        <v>279</v>
      </c>
      <c r="E723" t="s">
        <v>9</v>
      </c>
      <c r="F723" t="s">
        <v>332</v>
      </c>
      <c r="G723" t="s">
        <v>333</v>
      </c>
      <c r="H723" t="s">
        <v>334</v>
      </c>
      <c r="I723" t="s">
        <v>335</v>
      </c>
      <c r="J723" t="s">
        <v>298</v>
      </c>
      <c r="K723" t="s">
        <v>297</v>
      </c>
      <c r="O723" t="b">
        <f>IF(COUNTIFS($F$2:F723, F723, $P$2:P723, TRUE)&gt;1,TRUE,FALSE)</f>
        <v>0</v>
      </c>
      <c r="P723" t="b">
        <f>OR(ISNUMBER(MATCH(Checklist[[#This Row],[Type]], $B$3:$B$22, 0)), Checklist[[#This Row],[Type]] = "*")</f>
        <v>1</v>
      </c>
    </row>
    <row r="724" spans="4:16" x14ac:dyDescent="0.2">
      <c r="D724" t="s">
        <v>279</v>
      </c>
      <c r="E724" t="s">
        <v>9</v>
      </c>
      <c r="F724" t="s">
        <v>336</v>
      </c>
      <c r="G724" t="s">
        <v>337</v>
      </c>
      <c r="H724" t="s">
        <v>338</v>
      </c>
      <c r="I724" t="s">
        <v>259</v>
      </c>
      <c r="J724" t="s">
        <v>339</v>
      </c>
      <c r="K724" t="s">
        <v>340</v>
      </c>
      <c r="O724" t="b">
        <f>IF(COUNTIFS($F$2:F724, F724, $P$2:P724, TRUE)&gt;1,TRUE,FALSE)</f>
        <v>0</v>
      </c>
      <c r="P724" t="b">
        <f>OR(ISNUMBER(MATCH(Checklist[[#This Row],[Type]], $B$3:$B$22, 0)), Checklist[[#This Row],[Type]] = "*")</f>
        <v>1</v>
      </c>
    </row>
    <row r="725" spans="4:16" x14ac:dyDescent="0.2">
      <c r="D725" t="s">
        <v>279</v>
      </c>
      <c r="E725" t="s">
        <v>9</v>
      </c>
      <c r="F725" t="s">
        <v>341</v>
      </c>
      <c r="G725" t="s">
        <v>342</v>
      </c>
      <c r="H725" t="s">
        <v>343</v>
      </c>
      <c r="I725" t="s">
        <v>13</v>
      </c>
      <c r="J725" t="s">
        <v>14</v>
      </c>
      <c r="O725" t="b">
        <f>IF(COUNTIFS($F$2:F725, F725, $P$2:P725, TRUE)&gt;1,TRUE,FALSE)</f>
        <v>0</v>
      </c>
      <c r="P725" t="b">
        <f>OR(ISNUMBER(MATCH(Checklist[[#This Row],[Type]], $B$3:$B$22, 0)), Checklist[[#This Row],[Type]] = "*")</f>
        <v>1</v>
      </c>
    </row>
  </sheetData>
  <phoneticPr fontId="1" type="noConversion"/>
  <dataValidations count="1">
    <dataValidation type="list" allowBlank="1" showInputMessage="1" showErrorMessage="1" sqref="N2:N725" xr:uid="{1D544119-405F-D444-A6FB-8F6D92E232A0}">
      <formula1>I2:M2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75DC51-5214-1B4F-8DA9-5D1AC9E0AD9D}">
          <x14:formula1>
            <xm:f>Types!$A:$A</xm:f>
          </x14:formula1>
          <xm:sqref>B3:B22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1C02B-DBDA-A24E-809B-955020483350}">
  <sheetPr codeName="Sheet2"/>
  <dimension ref="A1:A90"/>
  <sheetViews>
    <sheetView topLeftCell="A45" zoomScale="130" zoomScaleNormal="130" workbookViewId="0">
      <selection activeCell="A89" sqref="A89"/>
    </sheetView>
  </sheetViews>
  <sheetFormatPr baseColWidth="10" defaultRowHeight="16" x14ac:dyDescent="0.2"/>
  <cols>
    <col min="1" max="1" width="30.6640625" customWidth="1"/>
  </cols>
  <sheetData>
    <row r="1" spans="1:1" x14ac:dyDescent="0.2">
      <c r="A1" t="s">
        <v>220</v>
      </c>
    </row>
    <row r="2" spans="1:1" x14ac:dyDescent="0.2">
      <c r="A2" t="s">
        <v>835</v>
      </c>
    </row>
    <row r="3" spans="1:1" x14ac:dyDescent="0.2">
      <c r="A3" t="s">
        <v>221</v>
      </c>
    </row>
    <row r="4" spans="1:1" x14ac:dyDescent="0.2">
      <c r="A4" t="s">
        <v>223</v>
      </c>
    </row>
    <row r="5" spans="1:1" x14ac:dyDescent="0.2">
      <c r="A5" t="s">
        <v>51</v>
      </c>
    </row>
    <row r="6" spans="1:1" x14ac:dyDescent="0.2">
      <c r="A6" t="s">
        <v>52</v>
      </c>
    </row>
    <row r="7" spans="1:1" x14ac:dyDescent="0.2">
      <c r="A7" t="s">
        <v>53</v>
      </c>
    </row>
    <row r="8" spans="1:1" x14ac:dyDescent="0.2">
      <c r="A8" t="s">
        <v>55</v>
      </c>
    </row>
    <row r="9" spans="1:1" x14ac:dyDescent="0.2">
      <c r="A9" t="s">
        <v>60</v>
      </c>
    </row>
    <row r="10" spans="1:1" x14ac:dyDescent="0.2">
      <c r="A10" t="s">
        <v>61</v>
      </c>
    </row>
    <row r="11" spans="1:1" x14ac:dyDescent="0.2">
      <c r="A11" t="s">
        <v>64</v>
      </c>
    </row>
    <row r="12" spans="1:1" x14ac:dyDescent="0.2">
      <c r="A12" t="s">
        <v>836</v>
      </c>
    </row>
    <row r="13" spans="1:1" x14ac:dyDescent="0.2">
      <c r="A13" t="s">
        <v>66</v>
      </c>
    </row>
    <row r="14" spans="1:1" x14ac:dyDescent="0.2">
      <c r="A14" t="s">
        <v>352</v>
      </c>
    </row>
    <row r="15" spans="1:1" x14ac:dyDescent="0.2">
      <c r="A15" t="s">
        <v>67</v>
      </c>
    </row>
    <row r="16" spans="1:1" x14ac:dyDescent="0.2">
      <c r="A16" t="s">
        <v>71</v>
      </c>
    </row>
    <row r="17" spans="1:1" x14ac:dyDescent="0.2">
      <c r="A17" t="s">
        <v>76</v>
      </c>
    </row>
    <row r="18" spans="1:1" x14ac:dyDescent="0.2">
      <c r="A18" t="s">
        <v>77</v>
      </c>
    </row>
    <row r="19" spans="1:1" x14ac:dyDescent="0.2">
      <c r="A19" t="s">
        <v>353</v>
      </c>
    </row>
    <row r="20" spans="1:1" x14ac:dyDescent="0.2">
      <c r="A20" t="s">
        <v>78</v>
      </c>
    </row>
    <row r="21" spans="1:1" x14ac:dyDescent="0.2">
      <c r="A21" t="s">
        <v>79</v>
      </c>
    </row>
    <row r="22" spans="1:1" x14ac:dyDescent="0.2">
      <c r="A22" t="s">
        <v>80</v>
      </c>
    </row>
    <row r="23" spans="1:1" x14ac:dyDescent="0.2">
      <c r="A23" t="s">
        <v>81</v>
      </c>
    </row>
    <row r="24" spans="1:1" x14ac:dyDescent="0.2">
      <c r="A24" t="s">
        <v>924</v>
      </c>
    </row>
    <row r="25" spans="1:1" x14ac:dyDescent="0.2">
      <c r="A25" t="s">
        <v>904</v>
      </c>
    </row>
    <row r="26" spans="1:1" x14ac:dyDescent="0.2">
      <c r="A26" t="s">
        <v>87</v>
      </c>
    </row>
    <row r="27" spans="1:1" x14ac:dyDescent="0.2">
      <c r="A27" t="s">
        <v>88</v>
      </c>
    </row>
    <row r="28" spans="1:1" x14ac:dyDescent="0.2">
      <c r="A28" t="s">
        <v>89</v>
      </c>
    </row>
    <row r="29" spans="1:1" x14ac:dyDescent="0.2">
      <c r="A29" t="s">
        <v>91</v>
      </c>
    </row>
    <row r="30" spans="1:1" x14ac:dyDescent="0.2">
      <c r="A30" t="s">
        <v>98</v>
      </c>
    </row>
    <row r="31" spans="1:1" x14ac:dyDescent="0.2">
      <c r="A31" t="s">
        <v>103</v>
      </c>
    </row>
    <row r="32" spans="1:1" x14ac:dyDescent="0.2">
      <c r="A32" t="s">
        <v>224</v>
      </c>
    </row>
    <row r="33" spans="1:1" x14ac:dyDescent="0.2">
      <c r="A33" t="s">
        <v>357</v>
      </c>
    </row>
    <row r="34" spans="1:1" x14ac:dyDescent="0.2">
      <c r="A34" t="s">
        <v>105</v>
      </c>
    </row>
    <row r="35" spans="1:1" x14ac:dyDescent="0.2">
      <c r="A35" t="s">
        <v>107</v>
      </c>
    </row>
    <row r="36" spans="1:1" x14ac:dyDescent="0.2">
      <c r="A36" t="s">
        <v>109</v>
      </c>
    </row>
    <row r="37" spans="1:1" x14ac:dyDescent="0.2">
      <c r="A37" t="s">
        <v>112</v>
      </c>
    </row>
    <row r="38" spans="1:1" x14ac:dyDescent="0.2">
      <c r="A38" t="s">
        <v>117</v>
      </c>
    </row>
    <row r="39" spans="1:1" x14ac:dyDescent="0.2">
      <c r="A39" t="s">
        <v>122</v>
      </c>
    </row>
    <row r="40" spans="1:1" x14ac:dyDescent="0.2">
      <c r="A40" t="s">
        <v>124</v>
      </c>
    </row>
    <row r="41" spans="1:1" x14ac:dyDescent="0.2">
      <c r="A41" t="s">
        <v>127</v>
      </c>
    </row>
    <row r="42" spans="1:1" x14ac:dyDescent="0.2">
      <c r="A42" t="s">
        <v>132</v>
      </c>
    </row>
    <row r="43" spans="1:1" x14ac:dyDescent="0.2">
      <c r="A43" t="s">
        <v>354</v>
      </c>
    </row>
    <row r="44" spans="1:1" x14ac:dyDescent="0.2">
      <c r="A44" t="s">
        <v>134</v>
      </c>
    </row>
    <row r="45" spans="1:1" x14ac:dyDescent="0.2">
      <c r="A45" t="s">
        <v>834</v>
      </c>
    </row>
    <row r="46" spans="1:1" x14ac:dyDescent="0.2">
      <c r="A46" t="s">
        <v>136</v>
      </c>
    </row>
    <row r="47" spans="1:1" x14ac:dyDescent="0.2">
      <c r="A47" t="s">
        <v>141</v>
      </c>
    </row>
    <row r="48" spans="1:1" x14ac:dyDescent="0.2">
      <c r="A48" t="s">
        <v>146</v>
      </c>
    </row>
    <row r="49" spans="1:1" x14ac:dyDescent="0.2">
      <c r="A49" t="s">
        <v>897</v>
      </c>
    </row>
    <row r="50" spans="1:1" x14ac:dyDescent="0.2">
      <c r="A50" t="s">
        <v>147</v>
      </c>
    </row>
    <row r="51" spans="1:1" x14ac:dyDescent="0.2">
      <c r="A51" t="s">
        <v>149</v>
      </c>
    </row>
    <row r="52" spans="1:1" x14ac:dyDescent="0.2">
      <c r="A52" t="s">
        <v>152</v>
      </c>
    </row>
    <row r="53" spans="1:1" x14ac:dyDescent="0.2">
      <c r="A53" t="s">
        <v>153</v>
      </c>
    </row>
    <row r="54" spans="1:1" x14ac:dyDescent="0.2">
      <c r="A54" t="s">
        <v>154</v>
      </c>
    </row>
    <row r="55" spans="1:1" x14ac:dyDescent="0.2">
      <c r="A55" t="s">
        <v>155</v>
      </c>
    </row>
    <row r="56" spans="1:1" x14ac:dyDescent="0.2">
      <c r="A56" t="s">
        <v>160</v>
      </c>
    </row>
    <row r="57" spans="1:1" x14ac:dyDescent="0.2">
      <c r="A57" t="s">
        <v>163</v>
      </c>
    </row>
    <row r="58" spans="1:1" x14ac:dyDescent="0.2">
      <c r="A58" t="s">
        <v>164</v>
      </c>
    </row>
    <row r="59" spans="1:1" x14ac:dyDescent="0.2">
      <c r="A59" t="s">
        <v>168</v>
      </c>
    </row>
    <row r="60" spans="1:1" x14ac:dyDescent="0.2">
      <c r="A60" t="s">
        <v>169</v>
      </c>
    </row>
    <row r="61" spans="1:1" x14ac:dyDescent="0.2">
      <c r="A61" t="s">
        <v>172</v>
      </c>
    </row>
    <row r="62" spans="1:1" x14ac:dyDescent="0.2">
      <c r="A62" t="s">
        <v>173</v>
      </c>
    </row>
    <row r="63" spans="1:1" x14ac:dyDescent="0.2">
      <c r="A63" t="s">
        <v>176</v>
      </c>
    </row>
    <row r="64" spans="1:1" x14ac:dyDescent="0.2">
      <c r="A64" t="s">
        <v>178</v>
      </c>
    </row>
    <row r="65" spans="1:1" x14ac:dyDescent="0.2">
      <c r="A65" t="s">
        <v>179</v>
      </c>
    </row>
    <row r="66" spans="1:1" x14ac:dyDescent="0.2">
      <c r="A66" t="s">
        <v>183</v>
      </c>
    </row>
    <row r="67" spans="1:1" x14ac:dyDescent="0.2">
      <c r="A67" t="s">
        <v>184</v>
      </c>
    </row>
    <row r="68" spans="1:1" x14ac:dyDescent="0.2">
      <c r="A68" t="s">
        <v>185</v>
      </c>
    </row>
    <row r="69" spans="1:1" x14ac:dyDescent="0.2">
      <c r="A69" t="s">
        <v>186</v>
      </c>
    </row>
    <row r="70" spans="1:1" x14ac:dyDescent="0.2">
      <c r="A70" t="s">
        <v>833</v>
      </c>
    </row>
    <row r="71" spans="1:1" x14ac:dyDescent="0.2">
      <c r="A71" t="s">
        <v>187</v>
      </c>
    </row>
    <row r="72" spans="1:1" x14ac:dyDescent="0.2">
      <c r="A72" t="s">
        <v>189</v>
      </c>
    </row>
    <row r="73" spans="1:1" x14ac:dyDescent="0.2">
      <c r="A73" t="s">
        <v>190</v>
      </c>
    </row>
    <row r="74" spans="1:1" x14ac:dyDescent="0.2">
      <c r="A74" t="s">
        <v>191</v>
      </c>
    </row>
    <row r="75" spans="1:1" x14ac:dyDescent="0.2">
      <c r="A75" t="s">
        <v>358</v>
      </c>
    </row>
    <row r="76" spans="1:1" x14ac:dyDescent="0.2">
      <c r="A76" t="s">
        <v>192</v>
      </c>
    </row>
    <row r="77" spans="1:1" x14ac:dyDescent="0.2">
      <c r="A77" t="s">
        <v>874</v>
      </c>
    </row>
    <row r="78" spans="1:1" x14ac:dyDescent="0.2">
      <c r="A78" t="s">
        <v>198</v>
      </c>
    </row>
    <row r="79" spans="1:1" x14ac:dyDescent="0.2">
      <c r="A79" t="s">
        <v>202</v>
      </c>
    </row>
    <row r="80" spans="1:1" x14ac:dyDescent="0.2">
      <c r="A80" t="s">
        <v>203</v>
      </c>
    </row>
    <row r="81" spans="1:1" x14ac:dyDescent="0.2">
      <c r="A81" t="s">
        <v>205</v>
      </c>
    </row>
    <row r="82" spans="1:1" x14ac:dyDescent="0.2">
      <c r="A82" t="s">
        <v>207</v>
      </c>
    </row>
    <row r="83" spans="1:1" x14ac:dyDescent="0.2">
      <c r="A83" t="s">
        <v>209</v>
      </c>
    </row>
    <row r="84" spans="1:1" x14ac:dyDescent="0.2">
      <c r="A84" t="s">
        <v>210</v>
      </c>
    </row>
    <row r="85" spans="1:1" x14ac:dyDescent="0.2">
      <c r="A85" t="s">
        <v>212</v>
      </c>
    </row>
    <row r="86" spans="1:1" x14ac:dyDescent="0.2">
      <c r="A86" t="s">
        <v>355</v>
      </c>
    </row>
    <row r="87" spans="1:1" x14ac:dyDescent="0.2">
      <c r="A87" t="s">
        <v>217</v>
      </c>
    </row>
    <row r="88" spans="1:1" x14ac:dyDescent="0.2">
      <c r="A88" t="s">
        <v>218</v>
      </c>
    </row>
    <row r="89" spans="1:1" x14ac:dyDescent="0.2">
      <c r="A89" t="s">
        <v>219</v>
      </c>
    </row>
    <row r="90" spans="1:1" x14ac:dyDescent="0.2">
      <c r="A90" t="s">
        <v>356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VF2S2MXYTOAMEVHX65FI4V3DRT3GQANA:ms-officescript%3A%2F%2Fonedrive_business_sharinglink%2Fu!aHR0cHM6Ly90YWJ1bGFydG9vbHMtbXkuc2hhcmVwb2ludC5jb20vOnU6L3AvZGFuaWVsZV9wZXJpbGxpL0VmaWJnTUpVOV9kS2psZGpqUFpvQWFBQlBTNWpscUVvc1E1Y1ExRGhxME1wNUE"/>
</scriptIds>
</file>

<file path=customXml/itemProps1.xml><?xml version="1.0" encoding="utf-8"?>
<ds:datastoreItem xmlns:ds="http://schemas.openxmlformats.org/officeDocument/2006/customXml" ds:itemID="{F9284240-D629-6042-BF94-0607A99E0405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Start</vt:lpstr>
      <vt:lpstr>Checklist</vt:lpstr>
      <vt:lpstr>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Perilli</dc:creator>
  <cp:lastModifiedBy>Daniele Perilli</cp:lastModifiedBy>
  <dcterms:created xsi:type="dcterms:W3CDTF">2024-10-20T06:44:23Z</dcterms:created>
  <dcterms:modified xsi:type="dcterms:W3CDTF">2024-10-31T17:51:35Z</dcterms:modified>
</cp:coreProperties>
</file>